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liveuclac-my.sharepoint.com/personal/ucbvonc_ucl_ac_uk/Documents/014_Adv_Modelling/Assessment/Excel_ESOM/"/>
    </mc:Choice>
  </mc:AlternateContent>
  <xr:revisionPtr revIDLastSave="0" documentId="13_ncr:1_{801D6CFE-671C-0747-BF1E-D8ECCD5EF319}" xr6:coauthVersionLast="47" xr6:coauthVersionMax="47" xr10:uidLastSave="{00000000-0000-0000-0000-000000000000}"/>
  <bookViews>
    <workbookView xWindow="-120" yWindow="-17865" windowWidth="31785" windowHeight="17265" xr2:uid="{2536DEB5-9627-3247-B11F-54B386230DDC}"/>
  </bookViews>
  <sheets>
    <sheet name="Sheet1" sheetId="1" r:id="rId1"/>
  </sheets>
  <externalReferences>
    <externalReference r:id="rId2"/>
  </externalReferences>
  <definedNames>
    <definedName name="solver_adj" localSheetId="0" hidden="1">Sheet1!$F$20:$F$71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Sheet1!$I$1:$L$1</definedName>
    <definedName name="solver_lhs10" localSheetId="0" hidden="1">Sheet1!$V$7:$Z$19</definedName>
    <definedName name="solver_lhs2" localSheetId="0" hidden="1">Sheet1!$N$3:$Q$3</definedName>
    <definedName name="solver_lhs3" localSheetId="0" hidden="1">Sheet1!$V$37:$Z$49</definedName>
    <definedName name="solver_lhs4" localSheetId="0" hidden="1">Sheet1!$V$7:$Z$19</definedName>
    <definedName name="solver_lhs5" localSheetId="0" hidden="1">Sheet1!$N$3:$Q$3</definedName>
    <definedName name="solver_lhs6" localSheetId="0" hidden="1">Sheet1!$V$37:$Z$49</definedName>
    <definedName name="solver_lhs7" localSheetId="0" hidden="1">Sheet1!$P$3</definedName>
    <definedName name="solver_lhs8" localSheetId="0" hidden="1">Sheet1!$Q$3</definedName>
    <definedName name="solver_lhs9" localSheetId="0" hidden="1">Sheet1!$V$37:$Z$49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opt" localSheetId="0" hidden="1">Sheet1!$E$5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Sheet1!$I$3:$L$3</definedName>
    <definedName name="solver_rhs10" localSheetId="0" hidden="1">Sheet1!$V$22:$Z$34</definedName>
    <definedName name="solver_rhs2" localSheetId="0" hidden="1">Sheet1!$N$1:$Q$1</definedName>
    <definedName name="solver_rhs3" localSheetId="0" hidden="1">Sheet1!$V$7:$Z$19</definedName>
    <definedName name="solver_rhs4" localSheetId="0" hidden="1">Sheet1!$V$22:$Z$34</definedName>
    <definedName name="solver_rhs5" localSheetId="0" hidden="1">Sheet1!$N$1:$Q$1</definedName>
    <definedName name="solver_rhs6" localSheetId="0" hidden="1">Sheet1!$V$7:$Z$19</definedName>
    <definedName name="solver_rhs7" localSheetId="0" hidden="1">Sheet1!$P$1</definedName>
    <definedName name="solver_rhs8" localSheetId="0" hidden="1">Sheet1!$Q$1</definedName>
    <definedName name="solver_rhs9" localSheetId="0" hidden="1">Sheet1!$V$7:$Z$19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/>
  <c r="L1" i="1" s="1"/>
  <c r="J1" i="1"/>
  <c r="X23" i="1"/>
  <c r="Y23" i="1" s="1"/>
  <c r="Z23" i="1" s="1"/>
  <c r="X24" i="1"/>
  <c r="Y24" i="1"/>
  <c r="Z24" i="1" s="1"/>
  <c r="X25" i="1"/>
  <c r="Y25" i="1"/>
  <c r="Z25" i="1" s="1"/>
  <c r="X31" i="1"/>
  <c r="Y31" i="1"/>
  <c r="Z31" i="1"/>
  <c r="X32" i="1"/>
  <c r="Y32" i="1"/>
  <c r="Z32" i="1" s="1"/>
  <c r="X33" i="1"/>
  <c r="Y33" i="1"/>
  <c r="Z33" i="1" s="1"/>
  <c r="X34" i="1"/>
  <c r="Y34" i="1"/>
  <c r="Z34" i="1" s="1"/>
  <c r="W23" i="1"/>
  <c r="W24" i="1"/>
  <c r="W25" i="1"/>
  <c r="W26" i="1"/>
  <c r="X26" i="1" s="1"/>
  <c r="Y26" i="1" s="1"/>
  <c r="Z26" i="1" s="1"/>
  <c r="W27" i="1"/>
  <c r="X27" i="1" s="1"/>
  <c r="Y27" i="1" s="1"/>
  <c r="Z27" i="1" s="1"/>
  <c r="W28" i="1"/>
  <c r="X28" i="1" s="1"/>
  <c r="Y28" i="1" s="1"/>
  <c r="Z28" i="1" s="1"/>
  <c r="W29" i="1"/>
  <c r="X29" i="1" s="1"/>
  <c r="Y29" i="1" s="1"/>
  <c r="Z29" i="1" s="1"/>
  <c r="W30" i="1"/>
  <c r="X30" i="1" s="1"/>
  <c r="Y30" i="1" s="1"/>
  <c r="Z30" i="1" s="1"/>
  <c r="W31" i="1"/>
  <c r="W32" i="1"/>
  <c r="W33" i="1"/>
  <c r="W34" i="1"/>
  <c r="W22" i="1"/>
  <c r="X22" i="1" s="1"/>
  <c r="Y22" i="1" s="1"/>
  <c r="Z22" i="1" s="1"/>
  <c r="X37" i="1"/>
  <c r="Y37" i="1" s="1"/>
  <c r="Z37" i="1" s="1"/>
  <c r="X38" i="1"/>
  <c r="Y38" i="1"/>
  <c r="Z38" i="1"/>
  <c r="X39" i="1"/>
  <c r="Y39" i="1" s="1"/>
  <c r="Z39" i="1" s="1"/>
  <c r="X40" i="1"/>
  <c r="Y40" i="1" s="1"/>
  <c r="Z40" i="1" s="1"/>
  <c r="X44" i="1"/>
  <c r="Y44" i="1"/>
  <c r="Z44" i="1"/>
  <c r="X45" i="1"/>
  <c r="Y45" i="1" s="1"/>
  <c r="Z45" i="1" s="1"/>
  <c r="X46" i="1"/>
  <c r="Y46" i="1"/>
  <c r="Z46" i="1"/>
  <c r="X47" i="1"/>
  <c r="Y47" i="1"/>
  <c r="Z47" i="1" s="1"/>
  <c r="X48" i="1"/>
  <c r="Y48" i="1" s="1"/>
  <c r="Z48" i="1" s="1"/>
  <c r="X49" i="1"/>
  <c r="Y49" i="1"/>
  <c r="Z49" i="1"/>
  <c r="W38" i="1"/>
  <c r="W39" i="1"/>
  <c r="W40" i="1"/>
  <c r="W41" i="1"/>
  <c r="X41" i="1" s="1"/>
  <c r="Y41" i="1" s="1"/>
  <c r="Z41" i="1" s="1"/>
  <c r="W42" i="1"/>
  <c r="X42" i="1" s="1"/>
  <c r="Y42" i="1" s="1"/>
  <c r="Z42" i="1" s="1"/>
  <c r="W43" i="1"/>
  <c r="X43" i="1" s="1"/>
  <c r="Y43" i="1" s="1"/>
  <c r="Z43" i="1" s="1"/>
  <c r="W44" i="1"/>
  <c r="W45" i="1"/>
  <c r="W46" i="1"/>
  <c r="W47" i="1"/>
  <c r="W48" i="1"/>
  <c r="W49" i="1"/>
  <c r="W37" i="1"/>
  <c r="V18" i="1"/>
  <c r="Z15" i="1"/>
  <c r="V7" i="1"/>
  <c r="Z19" i="1"/>
  <c r="Y19" i="1"/>
  <c r="X19" i="1"/>
  <c r="W19" i="1"/>
  <c r="V19" i="1"/>
  <c r="Z18" i="1"/>
  <c r="Y18" i="1"/>
  <c r="X18" i="1"/>
  <c r="W18" i="1"/>
  <c r="Z17" i="1"/>
  <c r="Y17" i="1"/>
  <c r="X17" i="1"/>
  <c r="W17" i="1"/>
  <c r="V17" i="1"/>
  <c r="Z16" i="1"/>
  <c r="Y16" i="1"/>
  <c r="X16" i="1"/>
  <c r="W16" i="1"/>
  <c r="V16" i="1"/>
  <c r="Y15" i="1"/>
  <c r="X15" i="1"/>
  <c r="W15" i="1"/>
  <c r="V15" i="1"/>
  <c r="Z14" i="1"/>
  <c r="Y14" i="1"/>
  <c r="X14" i="1"/>
  <c r="W14" i="1"/>
  <c r="V14" i="1"/>
  <c r="Z13" i="1"/>
  <c r="Y13" i="1"/>
  <c r="X13" i="1"/>
  <c r="W13" i="1"/>
  <c r="V13" i="1"/>
  <c r="Z12" i="1"/>
  <c r="Y12" i="1"/>
  <c r="X12" i="1"/>
  <c r="W12" i="1"/>
  <c r="V12" i="1"/>
  <c r="Z11" i="1"/>
  <c r="Y11" i="1"/>
  <c r="X11" i="1"/>
  <c r="W11" i="1"/>
  <c r="V11" i="1"/>
  <c r="Z10" i="1"/>
  <c r="Y10" i="1"/>
  <c r="X10" i="1"/>
  <c r="W10" i="1"/>
  <c r="V10" i="1"/>
  <c r="Z9" i="1"/>
  <c r="Y9" i="1"/>
  <c r="X9" i="1"/>
  <c r="W9" i="1"/>
  <c r="V9" i="1"/>
  <c r="Z8" i="1"/>
  <c r="Y8" i="1"/>
  <c r="X8" i="1"/>
  <c r="W8" i="1"/>
  <c r="V8" i="1"/>
  <c r="Z7" i="1"/>
  <c r="Y7" i="1"/>
  <c r="X7" i="1"/>
  <c r="W7" i="1"/>
  <c r="Q60" i="1" l="1"/>
  <c r="Q61" i="1"/>
  <c r="Q62" i="1"/>
  <c r="Q63" i="1"/>
  <c r="Q59" i="1"/>
  <c r="Q47" i="1"/>
  <c r="Q48" i="1"/>
  <c r="Q49" i="1"/>
  <c r="Q50" i="1"/>
  <c r="Q46" i="1"/>
  <c r="P46" i="1"/>
  <c r="P47" i="1"/>
  <c r="P48" i="1"/>
  <c r="P49" i="1"/>
  <c r="P50" i="1"/>
  <c r="Q37" i="1"/>
  <c r="Q36" i="1"/>
  <c r="Q34" i="1"/>
  <c r="P34" i="1"/>
  <c r="P35" i="1"/>
  <c r="P36" i="1"/>
  <c r="P37" i="1"/>
  <c r="P33" i="1"/>
  <c r="O34" i="1"/>
  <c r="O35" i="1"/>
  <c r="O36" i="1"/>
  <c r="O37" i="1"/>
  <c r="O33" i="1"/>
  <c r="P24" i="1"/>
  <c r="O24" i="1"/>
  <c r="P23" i="1"/>
  <c r="O23" i="1"/>
  <c r="Q21" i="1"/>
  <c r="P21" i="1"/>
  <c r="O21" i="1"/>
  <c r="O22" i="1"/>
  <c r="O20" i="1"/>
  <c r="N21" i="1"/>
  <c r="N22" i="1"/>
  <c r="N23" i="1"/>
  <c r="N24" i="1"/>
  <c r="N20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46" i="1"/>
  <c r="L43" i="1"/>
  <c r="L37" i="1"/>
  <c r="L38" i="1"/>
  <c r="L39" i="1"/>
  <c r="L40" i="1"/>
  <c r="L41" i="1"/>
  <c r="L36" i="1"/>
  <c r="L34" i="1"/>
  <c r="L30" i="1"/>
  <c r="L26" i="1"/>
  <c r="L27" i="1"/>
  <c r="L25" i="1"/>
  <c r="L21" i="1"/>
  <c r="P3" i="1" l="1"/>
  <c r="O3" i="1"/>
  <c r="N3" i="1"/>
  <c r="Q3" i="1"/>
  <c r="L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33" i="1"/>
  <c r="K30" i="1"/>
  <c r="K24" i="1"/>
  <c r="K25" i="1"/>
  <c r="K26" i="1"/>
  <c r="K27" i="1"/>
  <c r="K28" i="1"/>
  <c r="K23" i="1"/>
  <c r="K21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20" i="1"/>
  <c r="I21" i="1"/>
  <c r="I22" i="1"/>
  <c r="I23" i="1"/>
  <c r="I24" i="1"/>
  <c r="I25" i="1"/>
  <c r="I26" i="1"/>
  <c r="I27" i="1"/>
  <c r="I28" i="1"/>
  <c r="I29" i="1"/>
  <c r="I30" i="1"/>
  <c r="I31" i="1"/>
  <c r="I32" i="1"/>
  <c r="I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20" i="1"/>
  <c r="E5" i="1" l="1"/>
  <c r="K3" i="1"/>
  <c r="J3" i="1"/>
  <c r="I3" i="1"/>
</calcChain>
</file>

<file path=xl/sharedStrings.xml><?xml version="1.0" encoding="utf-8"?>
<sst xmlns="http://schemas.openxmlformats.org/spreadsheetml/2006/main" count="353" uniqueCount="67">
  <si>
    <t>Constrain</t>
  </si>
  <si>
    <t>&gt;</t>
  </si>
  <si>
    <t>&lt;</t>
  </si>
  <si>
    <t>Used Amount</t>
  </si>
  <si>
    <t>Objective Function</t>
  </si>
  <si>
    <t>Production Coefficeint</t>
  </si>
  <si>
    <t>Demand</t>
  </si>
  <si>
    <t>Emission Factor</t>
  </si>
  <si>
    <t>Emission</t>
  </si>
  <si>
    <t>Technology Road</t>
  </si>
  <si>
    <t>Code</t>
  </si>
  <si>
    <t>Abbreviate</t>
  </si>
  <si>
    <t>Vintage</t>
  </si>
  <si>
    <t>Name</t>
  </si>
  <si>
    <t>Total Cost</t>
  </si>
  <si>
    <t>Capacity</t>
  </si>
  <si>
    <t>Cost per Capacity</t>
  </si>
  <si>
    <t>TECH01</t>
  </si>
  <si>
    <t>BIO_PLT</t>
  </si>
  <si>
    <t>Biomass Power Plant</t>
  </si>
  <si>
    <t>TECH02</t>
  </si>
  <si>
    <t>COA_PLT</t>
  </si>
  <si>
    <t>Coal Power Plant</t>
  </si>
  <si>
    <t>TECH03</t>
  </si>
  <si>
    <t>SCGT_PLT</t>
  </si>
  <si>
    <t>Oil Fired Gas Turbine (SCGT)</t>
  </si>
  <si>
    <t>TECH04</t>
  </si>
  <si>
    <t>CCGT_PLT</t>
  </si>
  <si>
    <t>Gas Power Plant (CCGT)</t>
  </si>
  <si>
    <t>TECH05</t>
  </si>
  <si>
    <t>Gas Power Plant (SCGT)</t>
  </si>
  <si>
    <t>TECH06</t>
  </si>
  <si>
    <t>HYD_PLT_L</t>
  </si>
  <si>
    <t>Large Hydropower Plant (Dam) (&gt;100MW)</t>
  </si>
  <si>
    <t>TECH07</t>
  </si>
  <si>
    <t>HYD_PLT_M</t>
  </si>
  <si>
    <t>Medium Hydropower Plant (10-100MW)</t>
  </si>
  <si>
    <t>TECH08</t>
  </si>
  <si>
    <t>HYD_PLT_S</t>
  </si>
  <si>
    <t>Small Hydropower Plant (&lt;10MW)</t>
  </si>
  <si>
    <t>TECH09</t>
  </si>
  <si>
    <t>WID_PLT_OSH</t>
  </si>
  <si>
    <t>Onshore Wind</t>
  </si>
  <si>
    <t>TECH10</t>
  </si>
  <si>
    <t>WID_PLT_OFS</t>
  </si>
  <si>
    <t>Offshore Wind</t>
  </si>
  <si>
    <t>TECH11</t>
  </si>
  <si>
    <t>NUC_PLT</t>
  </si>
  <si>
    <t>Nuclear Power Plant</t>
  </si>
  <si>
    <t>TECH12</t>
  </si>
  <si>
    <t>PV_UTL</t>
  </si>
  <si>
    <t>Solar PV (Utility)</t>
  </si>
  <si>
    <t>TECH13</t>
  </si>
  <si>
    <t>PV_DIS</t>
  </si>
  <si>
    <t>Off-grid Solar PV</t>
  </si>
  <si>
    <t>Upper Limit</t>
  </si>
  <si>
    <t>Lower Limit</t>
  </si>
  <si>
    <t>input</t>
  </si>
  <si>
    <t>expected output</t>
  </si>
  <si>
    <t>Scenario</t>
  </si>
  <si>
    <t>BAU</t>
  </si>
  <si>
    <t>no carbon tax</t>
  </si>
  <si>
    <t>renew constrain</t>
  </si>
  <si>
    <t>no choice of hydrogen</t>
  </si>
  <si>
    <t>Carbon Tax</t>
  </si>
  <si>
    <t>yes carbon tax</t>
  </si>
  <si>
    <t>few choice of hydrogen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</si>
</sst>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"/>
    <numFmt numFmtId="177" formatCode="0.000"/>
  </numFmts>
  <fonts count="6" x14ac:knownFonts="1">
    <font>
      <sz val="12"/>
      <color theme="1"/>
      <name val="等线"/>
      <family val="2"/>
      <scheme val="minor"/>
    </font>
    <font>
      <b/>
      <sz val="12"/>
      <color theme="1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sz val="12"/>
      <color rgb="FF000000"/>
      <name val="Aptos Narrow"/>
      <family val="2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6" borderId="0" xfId="0" applyFont="1" applyFill="1" applyAlignment="1">
      <alignment horizontal="left"/>
    </xf>
    <xf numFmtId="0" fontId="0" fillId="6" borderId="0" xfId="0" applyFill="1"/>
    <xf numFmtId="0" fontId="1" fillId="0" borderId="0" xfId="0" applyFont="1" applyAlignment="1">
      <alignment horizontal="center"/>
    </xf>
    <xf numFmtId="0" fontId="1" fillId="7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176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6" fontId="0" fillId="8" borderId="0" xfId="0" applyNumberFormat="1" applyFill="1" applyAlignment="1">
      <alignment horizontal="center"/>
    </xf>
    <xf numFmtId="176" fontId="1" fillId="6" borderId="0" xfId="0" applyNumberFormat="1" applyFont="1" applyFill="1" applyAlignment="1">
      <alignment horizontal="center"/>
    </xf>
    <xf numFmtId="0" fontId="1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76" fontId="3" fillId="2" borderId="0" xfId="0" applyNumberFormat="1" applyFont="1" applyFill="1"/>
    <xf numFmtId="0" fontId="1" fillId="3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Emission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5532041599540731E-2"/>
          <c:y val="0.11009946632112362"/>
          <c:w val="0.90981793111430276"/>
          <c:h val="0.78678359138919629"/>
        </c:manualLayout>
      </c:layout>
      <c:lineChart>
        <c:grouping val="standard"/>
        <c:varyColors val="0"/>
        <c:ser>
          <c:idx val="0"/>
          <c:order val="0"/>
          <c:tx>
            <c:strRef>
              <c:f>[1]Decision_Sheet!$N$6:$Q$6</c:f>
              <c:strCache>
                <c:ptCount val="1"/>
                <c:pt idx="0">
                  <c:v>2020 2030 2040 2050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[1]Decision_Sheet!$N$3:$Q$3</c:f>
              <c:numCache>
                <c:formatCode>General</c:formatCode>
                <c:ptCount val="4"/>
                <c:pt idx="0">
                  <c:v>14688158.124290491</c:v>
                </c:pt>
                <c:pt idx="1">
                  <c:v>14689681.098561594</c:v>
                </c:pt>
                <c:pt idx="2">
                  <c:v>6450631.9405676108</c:v>
                </c:pt>
                <c:pt idx="3">
                  <c:v>1673666.1851279044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33-5B49-A940-4AB226877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2608671"/>
        <c:axId val="222610383"/>
      </c:lineChart>
      <c:catAx>
        <c:axId val="22260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2610383"/>
        <c:crosses val="autoZero"/>
        <c:auto val="1"/>
        <c:lblAlgn val="ctr"/>
        <c:lblOffset val="100"/>
        <c:noMultiLvlLbl val="0"/>
      </c:catAx>
      <c:valAx>
        <c:axId val="22261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2608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Emission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5532041599540731E-2"/>
          <c:y val="0.11009946632112362"/>
          <c:w val="0.90981793111430276"/>
          <c:h val="0.78678359138919629"/>
        </c:manualLayout>
      </c:layout>
      <c:lineChart>
        <c:grouping val="standard"/>
        <c:varyColors val="0"/>
        <c:ser>
          <c:idx val="0"/>
          <c:order val="0"/>
          <c:tx>
            <c:strRef>
              <c:f>[1]Decision_Sheet!$N$6:$Q$6</c:f>
              <c:strCache>
                <c:ptCount val="1"/>
                <c:pt idx="0">
                  <c:v>2020 2030 2040 2050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[1]Decision_Sheet!$N$3:$Q$3</c:f>
              <c:numCache>
                <c:formatCode>General</c:formatCode>
                <c:ptCount val="4"/>
                <c:pt idx="0">
                  <c:v>14688158.124290491</c:v>
                </c:pt>
                <c:pt idx="1">
                  <c:v>14689681.098561594</c:v>
                </c:pt>
                <c:pt idx="2">
                  <c:v>6450631.9405676108</c:v>
                </c:pt>
                <c:pt idx="3">
                  <c:v>1673666.1851279044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B4-D847-8210-9F040C297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2608671"/>
        <c:axId val="222610383"/>
      </c:lineChart>
      <c:catAx>
        <c:axId val="22260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2610383"/>
        <c:crosses val="autoZero"/>
        <c:auto val="1"/>
        <c:lblAlgn val="ctr"/>
        <c:lblOffset val="100"/>
        <c:noMultiLvlLbl val="0"/>
      </c:catAx>
      <c:valAx>
        <c:axId val="22261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2608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Sheet1!$U$7</c:f>
              <c:strCache>
                <c:ptCount val="1"/>
                <c:pt idx="0">
                  <c:v>Biomass Power Plant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Sheet1!$V$6:$Z$6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Sheet1!$V$7:$Z$7</c:f>
              <c:numCache>
                <c:formatCode>#,##0.0</c:formatCode>
                <c:ptCount val="5"/>
                <c:pt idx="0">
                  <c:v>12271.47</c:v>
                </c:pt>
                <c:pt idx="1">
                  <c:v>12271.469998999999</c:v>
                </c:pt>
                <c:pt idx="2">
                  <c:v>12271.469998999999</c:v>
                </c:pt>
                <c:pt idx="3">
                  <c:v>10521.251591249997</c:v>
                </c:pt>
                <c:pt idx="4">
                  <c:v>10521.251592249997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71-7B4E-B5E8-CFCA152FA228}"/>
            </c:ext>
          </c:extLst>
        </c:ser>
        <c:ser>
          <c:idx val="1"/>
          <c:order val="1"/>
          <c:tx>
            <c:strRef>
              <c:f>Sheet1!$U$8</c:f>
              <c:strCache>
                <c:ptCount val="1"/>
                <c:pt idx="0">
                  <c:v>Coal Power Plant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Sheet1!$V$6:$Z$6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Sheet1!$V$8:$Z$8</c:f>
              <c:numCache>
                <c:formatCode>#,##0.0</c:formatCode>
                <c:ptCount val="5"/>
                <c:pt idx="0">
                  <c:v>4145.5</c:v>
                </c:pt>
                <c:pt idx="1">
                  <c:v>4145.5</c:v>
                </c:pt>
                <c:pt idx="2">
                  <c:v>4145.4999992061148</c:v>
                </c:pt>
                <c:pt idx="3">
                  <c:v>4145.4999982061145</c:v>
                </c:pt>
                <c:pt idx="4">
                  <c:v>4145.4999982061145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71-7B4E-B5E8-CFCA152FA228}"/>
            </c:ext>
          </c:extLst>
        </c:ser>
        <c:ser>
          <c:idx val="2"/>
          <c:order val="2"/>
          <c:tx>
            <c:strRef>
              <c:f>Sheet1!$U$9</c:f>
              <c:strCache>
                <c:ptCount val="1"/>
                <c:pt idx="0">
                  <c:v>Oil Fired Gas Turbine (SCGT)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Sheet1!$V$6:$Z$6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Sheet1!$V$9:$Z$9</c:f>
              <c:numCache>
                <c:formatCode>#,##0.0</c:formatCode>
                <c:ptCount val="5"/>
                <c:pt idx="0">
                  <c:v>13403.16</c:v>
                </c:pt>
                <c:pt idx="1">
                  <c:v>13403.16</c:v>
                </c:pt>
                <c:pt idx="2">
                  <c:v>13403.16</c:v>
                </c:pt>
                <c:pt idx="3">
                  <c:v>11491.533792200931</c:v>
                </c:pt>
                <c:pt idx="4">
                  <c:v>11491.533792200931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71-7B4E-B5E8-CFCA152FA228}"/>
            </c:ext>
          </c:extLst>
        </c:ser>
        <c:ser>
          <c:idx val="3"/>
          <c:order val="3"/>
          <c:tx>
            <c:strRef>
              <c:f>Sheet1!$U$10</c:f>
              <c:strCache>
                <c:ptCount val="1"/>
                <c:pt idx="0">
                  <c:v>Gas Power Plant (CCGT)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Sheet1!$V$6:$Z$6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Sheet1!$V$10:$Z$10</c:f>
              <c:numCache>
                <c:formatCode>#,##0.0</c:formatCode>
                <c:ptCount val="5"/>
                <c:pt idx="0">
                  <c:v>19287.36</c:v>
                </c:pt>
                <c:pt idx="1">
                  <c:v>20599.594322940437</c:v>
                </c:pt>
                <c:pt idx="2">
                  <c:v>20599.594321940436</c:v>
                </c:pt>
                <c:pt idx="3">
                  <c:v>20599.594321940436</c:v>
                </c:pt>
                <c:pt idx="4">
                  <c:v>15709.675265999998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71-7B4E-B5E8-CFCA152FA228}"/>
            </c:ext>
          </c:extLst>
        </c:ser>
        <c:ser>
          <c:idx val="4"/>
          <c:order val="4"/>
          <c:tx>
            <c:strRef>
              <c:f>Sheet1!$U$11</c:f>
              <c:strCache>
                <c:ptCount val="1"/>
                <c:pt idx="0">
                  <c:v>Gas Power Plant (SCGT)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Sheet1!$V$6:$Z$6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Sheet1!$V$11:$Z$11</c:f>
              <c:numCache>
                <c:formatCode>#,##0.0</c:formatCode>
                <c:ptCount val="5"/>
                <c:pt idx="0">
                  <c:v>718.16</c:v>
                </c:pt>
                <c:pt idx="1">
                  <c:v>718.16</c:v>
                </c:pt>
                <c:pt idx="2">
                  <c:v>718.16</c:v>
                </c:pt>
                <c:pt idx="3">
                  <c:v>718.16</c:v>
                </c:pt>
                <c:pt idx="4">
                  <c:v>584.94580849999988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71-7B4E-B5E8-CFCA152FA228}"/>
            </c:ext>
          </c:extLst>
        </c:ser>
        <c:ser>
          <c:idx val="5"/>
          <c:order val="5"/>
          <c:tx>
            <c:strRef>
              <c:f>Sheet1!$U$12</c:f>
              <c:strCache>
                <c:ptCount val="1"/>
                <c:pt idx="0">
                  <c:v>Large Hydropower Plant (Dam) (&gt;100MW)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Sheet1!$V$6:$Z$6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Sheet1!$V$12:$Z$12</c:f>
              <c:numCache>
                <c:formatCode>#,##0.0</c:formatCode>
                <c:ptCount val="5"/>
                <c:pt idx="0">
                  <c:v>88787</c:v>
                </c:pt>
                <c:pt idx="1">
                  <c:v>88787</c:v>
                </c:pt>
                <c:pt idx="2">
                  <c:v>88787</c:v>
                </c:pt>
                <c:pt idx="3">
                  <c:v>88787</c:v>
                </c:pt>
                <c:pt idx="4">
                  <c:v>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71-7B4E-B5E8-CFCA152FA228}"/>
            </c:ext>
          </c:extLst>
        </c:ser>
        <c:ser>
          <c:idx val="6"/>
          <c:order val="6"/>
          <c:tx>
            <c:strRef>
              <c:f>Sheet1!$U$13</c:f>
              <c:strCache>
                <c:ptCount val="1"/>
                <c:pt idx="0">
                  <c:v>Medium Hydropower Plant (10-100MW)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Sheet1!$V$6:$Z$6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Sheet1!$V$13:$Z$13</c:f>
              <c:numCache>
                <c:formatCode>#,##0.0</c:formatCode>
                <c:ptCount val="5"/>
                <c:pt idx="0">
                  <c:v>6917</c:v>
                </c:pt>
                <c:pt idx="1">
                  <c:v>6917</c:v>
                </c:pt>
                <c:pt idx="2">
                  <c:v>6917</c:v>
                </c:pt>
                <c:pt idx="3">
                  <c:v>6917</c:v>
                </c:pt>
                <c:pt idx="4">
                  <c:v>6917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71-7B4E-B5E8-CFCA152FA228}"/>
            </c:ext>
          </c:extLst>
        </c:ser>
        <c:ser>
          <c:idx val="7"/>
          <c:order val="7"/>
          <c:tx>
            <c:strRef>
              <c:f>Sheet1!$U$14</c:f>
              <c:strCache>
                <c:ptCount val="1"/>
                <c:pt idx="0">
                  <c:v>Small Hydropower Plant (&lt;10MW)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Sheet1!$V$6:$Z$6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Sheet1!$V$14:$Z$14</c:f>
              <c:numCache>
                <c:formatCode>#,##0.0</c:formatCode>
                <c:ptCount val="5"/>
                <c:pt idx="0">
                  <c:v>1062</c:v>
                </c:pt>
                <c:pt idx="1">
                  <c:v>1062</c:v>
                </c:pt>
                <c:pt idx="2">
                  <c:v>1062</c:v>
                </c:pt>
                <c:pt idx="3">
                  <c:v>1062</c:v>
                </c:pt>
                <c:pt idx="4">
                  <c:v>1062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71-7B4E-B5E8-CFCA152FA228}"/>
            </c:ext>
          </c:extLst>
        </c:ser>
        <c:ser>
          <c:idx val="8"/>
          <c:order val="8"/>
          <c:tx>
            <c:strRef>
              <c:f>Sheet1!$U$15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Sheet1!$V$6:$Z$6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Sheet1!$V$15:$Z$15</c:f>
              <c:numCache>
                <c:formatCode>#,##0.0</c:formatCode>
                <c:ptCount val="5"/>
                <c:pt idx="0">
                  <c:v>11378.17</c:v>
                </c:pt>
                <c:pt idx="1">
                  <c:v>11378.17</c:v>
                </c:pt>
                <c:pt idx="2">
                  <c:v>11378.17</c:v>
                </c:pt>
                <c:pt idx="3">
                  <c:v>11378.17</c:v>
                </c:pt>
                <c:pt idx="4">
                  <c:v>9267.5905785624982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71-7B4E-B5E8-CFCA152FA228}"/>
            </c:ext>
          </c:extLst>
        </c:ser>
        <c:ser>
          <c:idx val="9"/>
          <c:order val="9"/>
          <c:tx>
            <c:strRef>
              <c:f>Sheet1!$U$16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Sheet1!$V$6:$Z$6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Sheet1!$V$16:$Z$16</c:f>
              <c:numCache>
                <c:formatCode>#,##0.0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C71-7B4E-B5E8-CFCA152FA228}"/>
            </c:ext>
          </c:extLst>
        </c:ser>
        <c:ser>
          <c:idx val="10"/>
          <c:order val="10"/>
          <c:tx>
            <c:strRef>
              <c:f>Sheet1!$U$17</c:f>
              <c:strCache>
                <c:ptCount val="1"/>
                <c:pt idx="0">
                  <c:v>Nuclear Power Plant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Sheet1!$V$6:$Z$6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Sheet1!$V$17:$Z$17</c:f>
              <c:numCache>
                <c:formatCode>#,##0.0</c:formatCode>
                <c:ptCount val="5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4">
                  <c:v>1990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71-7B4E-B5E8-CFCA152FA228}"/>
            </c:ext>
          </c:extLst>
        </c:ser>
        <c:ser>
          <c:idx val="11"/>
          <c:order val="11"/>
          <c:tx>
            <c:strRef>
              <c:f>Sheet1!$U$18</c:f>
              <c:strCache>
                <c:ptCount val="1"/>
                <c:pt idx="0">
                  <c:v>Solar PV (Utility)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Sheet1!$V$6:$Z$6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Sheet1!$V$18:$Z$18</c:f>
              <c:numCache>
                <c:formatCode>#,##0.0</c:formatCode>
                <c:ptCount val="5"/>
                <c:pt idx="0">
                  <c:v>6</c:v>
                </c:pt>
                <c:pt idx="1">
                  <c:v>7263.3211098293614</c:v>
                </c:pt>
                <c:pt idx="2">
                  <c:v>36573.666039370415</c:v>
                </c:pt>
                <c:pt idx="3">
                  <c:v>36567.666039370415</c:v>
                </c:pt>
                <c:pt idx="4">
                  <c:v>121036.1396086477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C71-7B4E-B5E8-CFCA152FA228}"/>
            </c:ext>
          </c:extLst>
        </c:ser>
        <c:ser>
          <c:idx val="12"/>
          <c:order val="12"/>
          <c:tx>
            <c:strRef>
              <c:f>Sheet1!$U$19</c:f>
              <c:strCache>
                <c:ptCount val="1"/>
                <c:pt idx="0">
                  <c:v>Off-grid Solar PV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Sheet1!$V$6:$Z$6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Sheet1!$V$19:$Z$19</c:f>
              <c:numCache>
                <c:formatCode>#,##0.0</c:formatCode>
                <c:ptCount val="5"/>
                <c:pt idx="0">
                  <c:v>7.23</c:v>
                </c:pt>
                <c:pt idx="1">
                  <c:v>7.23</c:v>
                </c:pt>
                <c:pt idx="2">
                  <c:v>7.2299999999987632</c:v>
                </c:pt>
                <c:pt idx="3">
                  <c:v>62615.864805994977</c:v>
                </c:pt>
                <c:pt idx="4">
                  <c:v>90194.992642252168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C71-7B4E-B5E8-CFCA152FA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63248"/>
        <c:axId val="396564960"/>
      </c:areaChart>
      <c:catAx>
        <c:axId val="39656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6564960"/>
        <c:crosses val="autoZero"/>
        <c:auto val="1"/>
        <c:lblAlgn val="ctr"/>
        <c:lblOffset val="100"/>
        <c:noMultiLvlLbl val="0"/>
      </c:catAx>
      <c:valAx>
        <c:axId val="3965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6563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245532</xdr:colOff>
      <xdr:row>31</xdr:row>
      <xdr:rowOff>93132</xdr:rowOff>
    </xdr:from>
    <xdr:to>
      <xdr:col>37</xdr:col>
      <xdr:colOff>558799</xdr:colOff>
      <xdr:row>49</xdr:row>
      <xdr:rowOff>50799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245532</xdr:colOff>
      <xdr:row>31</xdr:row>
      <xdr:rowOff>93132</xdr:rowOff>
    </xdr:from>
    <xdr:to>
      <xdr:col>37</xdr:col>
      <xdr:colOff>558799</xdr:colOff>
      <xdr:row>49</xdr:row>
      <xdr:rowOff>50799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304800</xdr:colOff>
      <xdr:row>2</xdr:row>
      <xdr:rowOff>139700</xdr:rowOff>
    </xdr:from>
    <xdr:to>
      <xdr:col>37</xdr:col>
      <xdr:colOff>558800</xdr:colOff>
      <xdr:row>31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469900</xdr:colOff>
          <xdr:row>1</xdr:row>
          <xdr:rowOff>12700</xdr:rowOff>
        </xdr:from>
        <xdr:to>
          <xdr:col>3</xdr:col>
          <xdr:colOff>228600</xdr:colOff>
          <xdr:row>2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liveuclac-my.sharepoint.com/personal/ucbvonc_ucl_ac_uk/Documents/014_Adv_Modelling/Assessment/Adv_Modelling_CCG_Brazil_Jerry_0227_1424.xlsm" TargetMode="External"/><Relationship Id="rId1" Type="http://schemas.openxmlformats.org/officeDocument/2006/relationships/externalLinkPath" Target="/personal/ucbvonc_ucl_ac_uk/Documents/014_Adv_Modelling/Assessment/Adv_Modelling_CCG_Brazil_Jerry_0227_14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ision_Sheet"/>
      <sheetName val="Data_Collection"/>
    </sheetNames>
    <sheetDataSet>
      <sheetData sheetId="0">
        <row r="3">
          <cell r="N3">
            <v>14688158.124290491</v>
          </cell>
          <cell r="O3">
            <v>14689681.098561594</v>
          </cell>
          <cell r="P3">
            <v>6450631.9405676108</v>
          </cell>
          <cell r="Q3">
            <v>1673666.1851279044</v>
          </cell>
        </row>
        <row r="6">
          <cell r="N6">
            <v>2020</v>
          </cell>
          <cell r="O6">
            <v>2030</v>
          </cell>
          <cell r="P6">
            <v>2040</v>
          </cell>
          <cell r="Q6">
            <v>2050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3966-2AF6-2A45-BFA5-6F270D85BC3E}">
  <dimension ref="A1:AU71"/>
  <sheetViews>
    <sheetView tabSelected="1" topLeftCell="R5" zoomScale="75" workbookViewId="0">
      <selection activeCell="E6" sqref="E6"/>
    </sheetView>
  </sheetViews>
  <sheetFormatPr defaultColWidth="11" defaultRowHeight="15.5" x14ac:dyDescent="0.35"/>
  <cols>
    <col min="1" max="1" width="8" customWidth="1"/>
    <col min="2" max="2" width="12.15234375" customWidth="1"/>
    <col min="3" max="3" width="11" style="1"/>
    <col min="4" max="4" width="35.4609375" customWidth="1"/>
    <col min="5" max="5" width="16.4609375" customWidth="1"/>
    <col min="6" max="6" width="11" style="1" bestFit="1"/>
    <col min="7" max="7" width="16.84375" customWidth="1"/>
    <col min="8" max="8" width="11.69140625" customWidth="1"/>
    <col min="14" max="17" width="13.3046875" customWidth="1"/>
    <col min="21" max="21" width="33.84375" customWidth="1"/>
    <col min="45" max="45" width="17.4609375" customWidth="1"/>
    <col min="46" max="46" width="16.69140625" customWidth="1"/>
    <col min="47" max="47" width="23" customWidth="1"/>
  </cols>
  <sheetData>
    <row r="1" spans="1:47" x14ac:dyDescent="0.35">
      <c r="G1" s="2" t="s">
        <v>0</v>
      </c>
      <c r="H1" s="2"/>
      <c r="I1" s="3">
        <v>85000</v>
      </c>
      <c r="J1" s="3">
        <f>I1*1.1</f>
        <v>93500.000000000015</v>
      </c>
      <c r="K1" s="3">
        <f t="shared" ref="K1:L1" si="0">J1*1.1</f>
        <v>102850.00000000003</v>
      </c>
      <c r="L1" s="3">
        <f t="shared" si="0"/>
        <v>113135.00000000004</v>
      </c>
      <c r="M1" s="3"/>
      <c r="N1" s="3">
        <v>15000000</v>
      </c>
      <c r="O1" s="3">
        <v>15000000</v>
      </c>
      <c r="P1" s="3">
        <v>14600000</v>
      </c>
      <c r="Q1" s="3">
        <v>14600000</v>
      </c>
      <c r="R1" s="4"/>
    </row>
    <row r="2" spans="1:47" x14ac:dyDescent="0.35">
      <c r="G2" s="2"/>
      <c r="H2" s="2"/>
      <c r="I2" s="4" t="s">
        <v>1</v>
      </c>
      <c r="J2" s="4" t="s">
        <v>1</v>
      </c>
      <c r="K2" s="4" t="s">
        <v>1</v>
      </c>
      <c r="L2" s="4" t="s">
        <v>1</v>
      </c>
      <c r="M2" s="4"/>
      <c r="N2" s="4" t="s">
        <v>2</v>
      </c>
      <c r="O2" s="4" t="s">
        <v>2</v>
      </c>
      <c r="P2" s="4" t="s">
        <v>2</v>
      </c>
      <c r="Q2" s="4" t="s">
        <v>2</v>
      </c>
      <c r="R2" s="1"/>
      <c r="S2" s="1"/>
    </row>
    <row r="3" spans="1:47" x14ac:dyDescent="0.35">
      <c r="G3" s="2" t="s">
        <v>3</v>
      </c>
      <c r="H3" s="2"/>
      <c r="I3" s="3">
        <f>SUM(I7:I32)</f>
        <v>84999.999971084166</v>
      </c>
      <c r="J3" s="3">
        <f>SUM(J7:J45)</f>
        <v>93499.999999876396</v>
      </c>
      <c r="K3" s="3">
        <f>SUM(K7:K58)</f>
        <v>124472.9519834845</v>
      </c>
      <c r="L3" s="3">
        <f>SUM(L7:L71)</f>
        <v>139431.09654707831</v>
      </c>
      <c r="M3" s="3"/>
      <c r="N3" s="3">
        <f>SUM(N7:N24)</f>
        <v>15000000.003137497</v>
      </c>
      <c r="O3" s="3">
        <f>SUM(O7:O37)</f>
        <v>15000000.002579007</v>
      </c>
      <c r="P3" s="3">
        <f>SUM(P7:P50)</f>
        <v>13824779.905011438</v>
      </c>
      <c r="Q3" s="3">
        <f>SUM(Q7:Q63)</f>
        <v>12311878.210508676</v>
      </c>
      <c r="R3" s="5"/>
      <c r="S3" s="5"/>
    </row>
    <row r="4" spans="1:47" x14ac:dyDescent="0.35">
      <c r="G4" s="2"/>
      <c r="H4" s="2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47" x14ac:dyDescent="0.35">
      <c r="D5" s="6" t="s">
        <v>4</v>
      </c>
      <c r="E5" s="22">
        <f>SUM(E7:E19)+SUM(E20:E32)/1.05^(2)+SUM(E33:E45)/1.05^(12)+SUM(E46:E58)/1.05^(22)+SUM(E59:E71)/1.05^(32)</f>
        <v>646540087.26808596</v>
      </c>
      <c r="H5" s="23" t="s">
        <v>5</v>
      </c>
      <c r="I5" s="7" t="s">
        <v>6</v>
      </c>
      <c r="J5" s="8"/>
      <c r="K5" s="8"/>
      <c r="L5" s="8"/>
      <c r="M5" s="24" t="s">
        <v>7</v>
      </c>
      <c r="N5" s="9" t="s">
        <v>8</v>
      </c>
      <c r="O5" s="10"/>
      <c r="P5" s="10"/>
      <c r="Q5" s="10"/>
      <c r="R5" s="1"/>
      <c r="S5" s="11" t="s">
        <v>9</v>
      </c>
      <c r="T5" s="12"/>
    </row>
    <row r="6" spans="1:47" x14ac:dyDescent="0.35">
      <c r="A6" s="13" t="s">
        <v>10</v>
      </c>
      <c r="B6" s="13" t="s">
        <v>11</v>
      </c>
      <c r="C6" s="13" t="s">
        <v>12</v>
      </c>
      <c r="D6" s="13" t="s">
        <v>13</v>
      </c>
      <c r="E6" s="14" t="s">
        <v>14</v>
      </c>
      <c r="F6" s="14" t="s">
        <v>15</v>
      </c>
      <c r="G6" s="14" t="s">
        <v>16</v>
      </c>
      <c r="H6" s="23"/>
      <c r="I6" s="7">
        <v>2020</v>
      </c>
      <c r="J6" s="7">
        <v>2030</v>
      </c>
      <c r="K6" s="7">
        <v>2040</v>
      </c>
      <c r="L6" s="7">
        <v>2050</v>
      </c>
      <c r="M6" s="24"/>
      <c r="N6" s="9">
        <v>2020</v>
      </c>
      <c r="O6" s="9">
        <v>2030</v>
      </c>
      <c r="P6" s="9">
        <v>2040</v>
      </c>
      <c r="Q6" s="9">
        <v>2050</v>
      </c>
      <c r="R6" s="13"/>
      <c r="S6" s="15" t="s">
        <v>10</v>
      </c>
      <c r="T6" s="15" t="s">
        <v>11</v>
      </c>
      <c r="U6" s="15"/>
      <c r="V6" s="15">
        <v>2018</v>
      </c>
      <c r="W6" s="15">
        <v>2020</v>
      </c>
      <c r="X6" s="15">
        <v>2030</v>
      </c>
      <c r="Y6" s="15">
        <v>2040</v>
      </c>
      <c r="Z6" s="15">
        <v>2050</v>
      </c>
      <c r="AS6" t="s">
        <v>57</v>
      </c>
      <c r="AT6" t="s">
        <v>57</v>
      </c>
      <c r="AU6" t="s">
        <v>58</v>
      </c>
    </row>
    <row r="7" spans="1:47" x14ac:dyDescent="0.35">
      <c r="A7" t="s">
        <v>17</v>
      </c>
      <c r="B7" t="s">
        <v>18</v>
      </c>
      <c r="C7" s="1">
        <v>2018</v>
      </c>
      <c r="D7" t="s">
        <v>19</v>
      </c>
      <c r="E7" s="16">
        <v>3429074.8266025591</v>
      </c>
      <c r="F7" s="16">
        <v>12271.47</v>
      </c>
      <c r="G7" s="16">
        <v>279.43472351743998</v>
      </c>
      <c r="H7" s="17">
        <v>0.23099999999999998</v>
      </c>
      <c r="I7" s="16">
        <v>2834.7095699999995</v>
      </c>
      <c r="J7" s="16">
        <v>2834.7095699999995</v>
      </c>
      <c r="K7" s="16"/>
      <c r="L7" s="16"/>
      <c r="M7" s="16">
        <v>330.52250880000003</v>
      </c>
      <c r="N7" s="16">
        <v>4055997.0510639362</v>
      </c>
      <c r="O7" s="16">
        <v>4055997.0510639362</v>
      </c>
      <c r="P7" s="16"/>
      <c r="Q7" s="16"/>
      <c r="R7" s="16"/>
      <c r="S7" t="s">
        <v>17</v>
      </c>
      <c r="T7" t="s">
        <v>18</v>
      </c>
      <c r="U7" s="5" t="s">
        <v>19</v>
      </c>
      <c r="V7" s="5">
        <f>F7</f>
        <v>12271.47</v>
      </c>
      <c r="W7" s="5">
        <f t="shared" ref="W7:W17" si="1">F7+F20</f>
        <v>12271.469998999999</v>
      </c>
      <c r="X7" s="5">
        <f t="shared" ref="X7:X19" si="2">F7+F20+F33</f>
        <v>12271.469998999999</v>
      </c>
      <c r="Y7" s="5">
        <f>F20+F33+F46</f>
        <v>10521.251591249997</v>
      </c>
      <c r="Z7" s="5">
        <f>F33+F46+F59</f>
        <v>10521.251592249997</v>
      </c>
      <c r="AP7" t="s">
        <v>59</v>
      </c>
      <c r="AQ7">
        <v>1</v>
      </c>
      <c r="AR7" t="s">
        <v>60</v>
      </c>
      <c r="AS7" t="s">
        <v>61</v>
      </c>
      <c r="AT7" t="s">
        <v>62</v>
      </c>
      <c r="AU7" t="s">
        <v>63</v>
      </c>
    </row>
    <row r="8" spans="1:47" x14ac:dyDescent="0.35">
      <c r="A8" t="s">
        <v>20</v>
      </c>
      <c r="B8" t="s">
        <v>21</v>
      </c>
      <c r="C8" s="1">
        <v>2018</v>
      </c>
      <c r="D8" t="s">
        <v>22</v>
      </c>
      <c r="E8" s="16">
        <v>6686709.3586083837</v>
      </c>
      <c r="F8" s="16">
        <v>4145.5</v>
      </c>
      <c r="G8" s="16">
        <v>1613.0043079504001</v>
      </c>
      <c r="H8" s="17">
        <v>0.36549999999999999</v>
      </c>
      <c r="I8" s="16">
        <v>1515.1802499999999</v>
      </c>
      <c r="J8" s="16">
        <v>1515.1802499999999</v>
      </c>
      <c r="K8" s="16">
        <v>1515.1802499999999</v>
      </c>
      <c r="L8" s="16">
        <v>1515.1802499999999</v>
      </c>
      <c r="M8" s="16">
        <v>402.68658988799996</v>
      </c>
      <c r="N8" s="16">
        <v>1669337.2583807039</v>
      </c>
      <c r="O8" s="16">
        <v>1669337.2583807039</v>
      </c>
      <c r="P8" s="16">
        <v>1669337.2583807039</v>
      </c>
      <c r="Q8" s="16">
        <v>1669337.2583807039</v>
      </c>
      <c r="R8" s="16"/>
      <c r="S8" t="s">
        <v>20</v>
      </c>
      <c r="T8" t="s">
        <v>21</v>
      </c>
      <c r="U8" s="5" t="s">
        <v>22</v>
      </c>
      <c r="V8" s="5">
        <f t="shared" ref="V8:V17" si="3">F8</f>
        <v>4145.5</v>
      </c>
      <c r="W8" s="5">
        <f t="shared" si="1"/>
        <v>4145.5</v>
      </c>
      <c r="X8" s="5">
        <f t="shared" si="2"/>
        <v>4145.4999992061148</v>
      </c>
      <c r="Y8" s="5">
        <f>F8+F21+F34+F47</f>
        <v>4145.4999982061145</v>
      </c>
      <c r="Z8" s="5">
        <f>F8+F21+F34+F47+F60</f>
        <v>4145.4999982061145</v>
      </c>
      <c r="AQ8">
        <v>2</v>
      </c>
      <c r="AR8" t="s">
        <v>64</v>
      </c>
      <c r="AS8" t="s">
        <v>65</v>
      </c>
      <c r="AT8" t="s">
        <v>62</v>
      </c>
      <c r="AU8" t="s">
        <v>66</v>
      </c>
    </row>
    <row r="9" spans="1:47" x14ac:dyDescent="0.35">
      <c r="A9" t="s">
        <v>23</v>
      </c>
      <c r="B9" t="s">
        <v>24</v>
      </c>
      <c r="C9" s="1">
        <v>2018</v>
      </c>
      <c r="D9" t="s">
        <v>25</v>
      </c>
      <c r="E9" s="16">
        <v>7417317.7082693037</v>
      </c>
      <c r="F9" s="16">
        <v>13403.16</v>
      </c>
      <c r="G9" s="16">
        <v>553.40066881760004</v>
      </c>
      <c r="H9" s="17">
        <v>0.29749999999999999</v>
      </c>
      <c r="I9" s="16">
        <v>3987.4400999999998</v>
      </c>
      <c r="J9" s="16">
        <v>3987.4400999999998</v>
      </c>
      <c r="K9" s="16"/>
      <c r="L9" s="16"/>
      <c r="M9" s="16">
        <v>312.16014719999998</v>
      </c>
      <c r="N9" s="16">
        <v>4183932.3985451516</v>
      </c>
      <c r="O9" s="16">
        <v>4183932.3985451516</v>
      </c>
      <c r="P9" s="16"/>
      <c r="Q9" s="16"/>
      <c r="R9" s="16"/>
      <c r="S9" t="s">
        <v>23</v>
      </c>
      <c r="T9" t="s">
        <v>24</v>
      </c>
      <c r="U9" s="5" t="s">
        <v>25</v>
      </c>
      <c r="V9" s="5">
        <f t="shared" si="3"/>
        <v>13403.16</v>
      </c>
      <c r="W9" s="5">
        <f t="shared" si="1"/>
        <v>13403.16</v>
      </c>
      <c r="X9" s="5">
        <f t="shared" si="2"/>
        <v>13403.16</v>
      </c>
      <c r="Y9" s="5">
        <f>F22+F35+F48</f>
        <v>11491.533792200931</v>
      </c>
      <c r="Z9" s="5">
        <f>F35+F48+F61</f>
        <v>11491.533792200931</v>
      </c>
      <c r="AQ9">
        <v>3</v>
      </c>
    </row>
    <row r="10" spans="1:47" x14ac:dyDescent="0.35">
      <c r="A10" t="s">
        <v>26</v>
      </c>
      <c r="B10" t="s">
        <v>27</v>
      </c>
      <c r="C10" s="1">
        <v>2018</v>
      </c>
      <c r="D10" t="s">
        <v>28</v>
      </c>
      <c r="E10" s="16">
        <v>11866748.336114556</v>
      </c>
      <c r="F10" s="16">
        <v>19287.36</v>
      </c>
      <c r="G10" s="16">
        <v>615.26037446880002</v>
      </c>
      <c r="H10" s="17">
        <v>0.48449999999999993</v>
      </c>
      <c r="I10" s="16">
        <v>9344.725919999999</v>
      </c>
      <c r="J10" s="16">
        <v>9344.725919999999</v>
      </c>
      <c r="K10" s="16">
        <v>9344.725919999999</v>
      </c>
      <c r="L10" s="16"/>
      <c r="M10" s="16">
        <v>238.802512608</v>
      </c>
      <c r="N10" s="16">
        <v>4605870.029575035</v>
      </c>
      <c r="O10" s="16">
        <v>4605870.029575035</v>
      </c>
      <c r="P10" s="16">
        <v>4605870.029575035</v>
      </c>
      <c r="Q10" s="16"/>
      <c r="R10" s="16"/>
      <c r="S10" t="s">
        <v>26</v>
      </c>
      <c r="T10" t="s">
        <v>27</v>
      </c>
      <c r="U10" s="5" t="s">
        <v>28</v>
      </c>
      <c r="V10" s="5">
        <f t="shared" si="3"/>
        <v>19287.36</v>
      </c>
      <c r="W10" s="5">
        <f t="shared" si="1"/>
        <v>20599.594322940437</v>
      </c>
      <c r="X10" s="5">
        <f t="shared" si="2"/>
        <v>20599.594321940436</v>
      </c>
      <c r="Y10" s="5">
        <f t="shared" ref="Y10:Y15" si="4">F10+F23+F36+F49</f>
        <v>20599.594321940436</v>
      </c>
      <c r="Z10" s="5">
        <f>F23+F36+F49+F62</f>
        <v>15709.675265999998</v>
      </c>
    </row>
    <row r="11" spans="1:47" x14ac:dyDescent="0.35">
      <c r="A11" t="s">
        <v>29</v>
      </c>
      <c r="B11" t="s">
        <v>24</v>
      </c>
      <c r="C11" s="1">
        <v>2018</v>
      </c>
      <c r="D11" t="s">
        <v>30</v>
      </c>
      <c r="E11" s="16">
        <v>226407.39052851341</v>
      </c>
      <c r="F11" s="16">
        <v>718.16</v>
      </c>
      <c r="G11" s="16">
        <v>315.26037446880002</v>
      </c>
      <c r="H11" s="17">
        <v>0.32300000000000001</v>
      </c>
      <c r="I11" s="16">
        <v>231.96567999999999</v>
      </c>
      <c r="J11" s="16">
        <v>231.96567999999999</v>
      </c>
      <c r="K11" s="16">
        <v>231.96567999999999</v>
      </c>
      <c r="L11" s="16"/>
      <c r="M11" s="16">
        <v>238.802512608</v>
      </c>
      <c r="N11" s="16">
        <v>171498.41245456127</v>
      </c>
      <c r="O11" s="16">
        <v>171498.41245456127</v>
      </c>
      <c r="P11" s="16">
        <v>171498.41245456127</v>
      </c>
      <c r="Q11" s="16"/>
      <c r="R11" s="16"/>
      <c r="S11" t="s">
        <v>29</v>
      </c>
      <c r="T11" t="s">
        <v>24</v>
      </c>
      <c r="U11" s="5" t="s">
        <v>30</v>
      </c>
      <c r="V11" s="5">
        <f t="shared" si="3"/>
        <v>718.16</v>
      </c>
      <c r="W11" s="5">
        <f t="shared" si="1"/>
        <v>718.16</v>
      </c>
      <c r="X11" s="5">
        <f t="shared" si="2"/>
        <v>718.16</v>
      </c>
      <c r="Y11" s="5">
        <f t="shared" si="4"/>
        <v>718.16</v>
      </c>
      <c r="Z11" s="5">
        <f>F24+F37+F50+F63</f>
        <v>584.94580849999988</v>
      </c>
    </row>
    <row r="12" spans="1:47" x14ac:dyDescent="0.35">
      <c r="A12" t="s">
        <v>31</v>
      </c>
      <c r="B12" t="s">
        <v>32</v>
      </c>
      <c r="C12" s="1">
        <v>2018</v>
      </c>
      <c r="D12" t="s">
        <v>33</v>
      </c>
      <c r="E12" s="16">
        <v>313133991.60000002</v>
      </c>
      <c r="F12" s="16">
        <v>88787</v>
      </c>
      <c r="G12" s="16">
        <v>3526.8</v>
      </c>
      <c r="H12" s="17">
        <v>0.62</v>
      </c>
      <c r="I12" s="16">
        <v>55047.94</v>
      </c>
      <c r="J12" s="16">
        <v>55047.94</v>
      </c>
      <c r="K12" s="16">
        <v>55047.94</v>
      </c>
      <c r="L12" s="16">
        <v>55047.94</v>
      </c>
      <c r="M12" s="16"/>
      <c r="N12" s="16"/>
      <c r="O12" s="16"/>
      <c r="P12" s="16"/>
      <c r="Q12" s="16"/>
      <c r="R12" s="16"/>
      <c r="S12" t="s">
        <v>31</v>
      </c>
      <c r="T12" t="s">
        <v>32</v>
      </c>
      <c r="U12" s="5" t="s">
        <v>33</v>
      </c>
      <c r="V12" s="5">
        <f t="shared" si="3"/>
        <v>88787</v>
      </c>
      <c r="W12" s="5">
        <f t="shared" si="1"/>
        <v>88787</v>
      </c>
      <c r="X12" s="5">
        <f t="shared" si="2"/>
        <v>88787</v>
      </c>
      <c r="Y12" s="5">
        <f t="shared" si="4"/>
        <v>88787</v>
      </c>
      <c r="Z12" s="5">
        <f>F12+F25+F38+F51+F64</f>
        <v>88787</v>
      </c>
    </row>
    <row r="13" spans="1:47" x14ac:dyDescent="0.35">
      <c r="A13" t="s">
        <v>34</v>
      </c>
      <c r="B13" t="s">
        <v>35</v>
      </c>
      <c r="C13" s="1">
        <v>2018</v>
      </c>
      <c r="D13" t="s">
        <v>36</v>
      </c>
      <c r="E13" s="16">
        <v>20751000</v>
      </c>
      <c r="F13" s="16">
        <v>6917</v>
      </c>
      <c r="G13" s="16">
        <v>3000</v>
      </c>
      <c r="H13" s="17">
        <v>0.62</v>
      </c>
      <c r="I13" s="16">
        <v>4288.54</v>
      </c>
      <c r="J13" s="16">
        <v>4288.54</v>
      </c>
      <c r="K13" s="16">
        <v>4288.54</v>
      </c>
      <c r="L13" s="16">
        <v>4288.54</v>
      </c>
      <c r="M13" s="16"/>
      <c r="N13" s="16"/>
      <c r="O13" s="16"/>
      <c r="P13" s="16"/>
      <c r="Q13" s="16"/>
      <c r="R13" s="16"/>
      <c r="S13" t="s">
        <v>34</v>
      </c>
      <c r="T13" t="s">
        <v>35</v>
      </c>
      <c r="U13" s="5" t="s">
        <v>36</v>
      </c>
      <c r="V13" s="5">
        <f t="shared" si="3"/>
        <v>6917</v>
      </c>
      <c r="W13" s="5">
        <f t="shared" si="1"/>
        <v>6917</v>
      </c>
      <c r="X13" s="5">
        <f t="shared" si="2"/>
        <v>6917</v>
      </c>
      <c r="Y13" s="5">
        <f t="shared" si="4"/>
        <v>6917</v>
      </c>
      <c r="Z13" s="5">
        <f>F13+F26+F39+F52+F65</f>
        <v>6917</v>
      </c>
    </row>
    <row r="14" spans="1:47" x14ac:dyDescent="0.35">
      <c r="A14" t="s">
        <v>37</v>
      </c>
      <c r="B14" t="s">
        <v>38</v>
      </c>
      <c r="C14" s="1">
        <v>2018</v>
      </c>
      <c r="D14" t="s">
        <v>39</v>
      </c>
      <c r="E14" s="16">
        <v>4459125.6000000006</v>
      </c>
      <c r="F14" s="16">
        <v>1062</v>
      </c>
      <c r="G14" s="16">
        <v>4198.8</v>
      </c>
      <c r="H14" s="17">
        <v>0.62</v>
      </c>
      <c r="I14" s="16">
        <v>658.43999999999994</v>
      </c>
      <c r="J14" s="16">
        <v>658.43999999999994</v>
      </c>
      <c r="K14" s="16">
        <v>658.43999999999994</v>
      </c>
      <c r="L14" s="16">
        <v>658.43999999999994</v>
      </c>
      <c r="M14" s="16"/>
      <c r="N14" s="16"/>
      <c r="O14" s="16"/>
      <c r="P14" s="16"/>
      <c r="Q14" s="16"/>
      <c r="R14" s="16"/>
      <c r="S14" t="s">
        <v>37</v>
      </c>
      <c r="T14" t="s">
        <v>38</v>
      </c>
      <c r="U14" s="5" t="s">
        <v>39</v>
      </c>
      <c r="V14" s="5">
        <f t="shared" si="3"/>
        <v>1062</v>
      </c>
      <c r="W14" s="5">
        <f t="shared" si="1"/>
        <v>1062</v>
      </c>
      <c r="X14" s="5">
        <f t="shared" si="2"/>
        <v>1062</v>
      </c>
      <c r="Y14" s="5">
        <f t="shared" si="4"/>
        <v>1062</v>
      </c>
      <c r="Z14" s="5">
        <f>F14+F27+F40+F53+F66</f>
        <v>1062</v>
      </c>
    </row>
    <row r="15" spans="1:47" x14ac:dyDescent="0.35">
      <c r="A15" t="s">
        <v>40</v>
      </c>
      <c r="B15" t="s">
        <v>41</v>
      </c>
      <c r="C15" s="1">
        <v>2018</v>
      </c>
      <c r="D15" t="s">
        <v>42</v>
      </c>
      <c r="E15" s="16">
        <v>21603731.379000001</v>
      </c>
      <c r="F15" s="16">
        <v>11378.17</v>
      </c>
      <c r="G15" s="16">
        <v>1898.7</v>
      </c>
      <c r="H15" s="17">
        <v>0.33</v>
      </c>
      <c r="I15" s="16">
        <v>3754.7961</v>
      </c>
      <c r="J15" s="16">
        <v>3754.7961</v>
      </c>
      <c r="K15" s="16">
        <v>3754.7961</v>
      </c>
      <c r="L15" s="16"/>
      <c r="M15" s="16"/>
      <c r="N15" s="16"/>
      <c r="O15" s="16"/>
      <c r="P15" s="16"/>
      <c r="Q15" s="16"/>
      <c r="R15" s="16"/>
      <c r="S15" t="s">
        <v>40</v>
      </c>
      <c r="T15" t="s">
        <v>41</v>
      </c>
      <c r="U15" s="5" t="s">
        <v>42</v>
      </c>
      <c r="V15" s="5">
        <f t="shared" si="3"/>
        <v>11378.17</v>
      </c>
      <c r="W15" s="5">
        <f t="shared" si="1"/>
        <v>11378.17</v>
      </c>
      <c r="X15" s="5">
        <f t="shared" si="2"/>
        <v>11378.17</v>
      </c>
      <c r="Y15" s="5">
        <f t="shared" si="4"/>
        <v>11378.17</v>
      </c>
      <c r="Z15" s="5">
        <f>F28+F41+F54+F67</f>
        <v>9267.5905785624982</v>
      </c>
    </row>
    <row r="16" spans="1:47" x14ac:dyDescent="0.35">
      <c r="A16" t="s">
        <v>43</v>
      </c>
      <c r="B16" t="s">
        <v>44</v>
      </c>
      <c r="C16" s="1">
        <v>2018</v>
      </c>
      <c r="D16" t="s">
        <v>45</v>
      </c>
      <c r="E16" s="16">
        <v>0</v>
      </c>
      <c r="F16" s="16">
        <v>0</v>
      </c>
      <c r="G16" s="16">
        <v>3142.6</v>
      </c>
      <c r="H16" s="17">
        <v>0.24</v>
      </c>
      <c r="I16" s="16">
        <v>0</v>
      </c>
      <c r="J16" s="16">
        <v>0</v>
      </c>
      <c r="K16" s="16"/>
      <c r="L16" s="16"/>
      <c r="M16" s="16"/>
      <c r="N16" s="16"/>
      <c r="O16" s="16"/>
      <c r="P16" s="16"/>
      <c r="Q16" s="16"/>
      <c r="R16" s="16"/>
      <c r="S16" t="s">
        <v>43</v>
      </c>
      <c r="T16" t="s">
        <v>44</v>
      </c>
      <c r="U16" s="5" t="s">
        <v>45</v>
      </c>
      <c r="V16" s="5">
        <f t="shared" si="3"/>
        <v>0</v>
      </c>
      <c r="W16" s="5">
        <f t="shared" si="1"/>
        <v>0</v>
      </c>
      <c r="X16" s="5">
        <f t="shared" si="2"/>
        <v>0</v>
      </c>
      <c r="Y16" s="5">
        <f>F29+F42+F55</f>
        <v>0</v>
      </c>
      <c r="Z16" s="5">
        <f>F42+F55+F68</f>
        <v>0</v>
      </c>
    </row>
    <row r="17" spans="1:26" x14ac:dyDescent="0.35">
      <c r="A17" t="s">
        <v>46</v>
      </c>
      <c r="B17" t="s">
        <v>47</v>
      </c>
      <c r="C17" s="1">
        <v>2018</v>
      </c>
      <c r="D17" t="s">
        <v>48</v>
      </c>
      <c r="E17" s="16">
        <v>15087383.999999998</v>
      </c>
      <c r="F17" s="16">
        <v>1990</v>
      </c>
      <c r="G17" s="16">
        <v>7581.5999999999995</v>
      </c>
      <c r="H17" s="17">
        <v>0.29749999999999999</v>
      </c>
      <c r="I17" s="16">
        <v>592.02499999999998</v>
      </c>
      <c r="J17" s="16">
        <v>592.02499999999998</v>
      </c>
      <c r="K17" s="16">
        <v>592.02499999999998</v>
      </c>
      <c r="L17" s="16">
        <v>592.02499999999998</v>
      </c>
      <c r="M17" s="16"/>
      <c r="N17" s="16"/>
      <c r="O17" s="16"/>
      <c r="P17" s="16"/>
      <c r="Q17" s="16"/>
      <c r="R17" s="16"/>
      <c r="S17" t="s">
        <v>46</v>
      </c>
      <c r="T17" t="s">
        <v>47</v>
      </c>
      <c r="U17" s="5" t="s">
        <v>48</v>
      </c>
      <c r="V17" s="5">
        <f t="shared" si="3"/>
        <v>1990</v>
      </c>
      <c r="W17" s="5">
        <f t="shared" si="1"/>
        <v>1990</v>
      </c>
      <c r="X17" s="5">
        <f t="shared" si="2"/>
        <v>1990</v>
      </c>
      <c r="Y17" s="5">
        <f>F17+F30+F43+F56</f>
        <v>1990</v>
      </c>
      <c r="Z17" s="5">
        <f>F17+F30+F43+F56+F69</f>
        <v>1990</v>
      </c>
    </row>
    <row r="18" spans="1:26" x14ac:dyDescent="0.35">
      <c r="A18" t="s">
        <v>49</v>
      </c>
      <c r="B18" t="s">
        <v>50</v>
      </c>
      <c r="C18" s="1">
        <v>2018</v>
      </c>
      <c r="D18" t="s">
        <v>51</v>
      </c>
      <c r="E18" s="16">
        <v>2793.6000000000004</v>
      </c>
      <c r="F18" s="16">
        <v>6</v>
      </c>
      <c r="G18" s="16">
        <v>465.6</v>
      </c>
      <c r="H18" s="17">
        <v>0.28999999999999998</v>
      </c>
      <c r="I18" s="16">
        <v>1.7399999999999998</v>
      </c>
      <c r="J18" s="16">
        <v>1.7399999999999998</v>
      </c>
      <c r="K18" s="16"/>
      <c r="L18" s="16"/>
      <c r="M18" s="16"/>
      <c r="N18" s="16"/>
      <c r="O18" s="16"/>
      <c r="P18" s="16"/>
      <c r="Q18" s="16"/>
      <c r="R18" s="16"/>
      <c r="S18" t="s">
        <v>49</v>
      </c>
      <c r="T18" t="s">
        <v>50</v>
      </c>
      <c r="U18" s="5" t="s">
        <v>51</v>
      </c>
      <c r="V18" s="5">
        <f>F18</f>
        <v>6</v>
      </c>
      <c r="W18" s="5">
        <f>F18+F31</f>
        <v>7263.3211098293614</v>
      </c>
      <c r="X18" s="5">
        <f t="shared" si="2"/>
        <v>36573.666039370415</v>
      </c>
      <c r="Y18" s="5">
        <f>F31+F44</f>
        <v>36567.666039370415</v>
      </c>
      <c r="Z18" s="5">
        <f>F70+F57</f>
        <v>121036.1396086477</v>
      </c>
    </row>
    <row r="19" spans="1:26" x14ac:dyDescent="0.35">
      <c r="A19" t="s">
        <v>52</v>
      </c>
      <c r="B19" t="s">
        <v>53</v>
      </c>
      <c r="C19" s="1">
        <v>2018</v>
      </c>
      <c r="D19" t="s">
        <v>54</v>
      </c>
      <c r="E19" s="16">
        <v>12493.44</v>
      </c>
      <c r="F19" s="16">
        <v>7.23</v>
      </c>
      <c r="G19" s="16">
        <v>1728</v>
      </c>
      <c r="H19" s="17">
        <v>0.28999999999999998</v>
      </c>
      <c r="I19" s="16">
        <v>2.0966999999999998</v>
      </c>
      <c r="J19" s="16">
        <v>2.0966999999999998</v>
      </c>
      <c r="K19" s="16"/>
      <c r="L19" s="16"/>
      <c r="M19" s="16"/>
      <c r="N19" s="16"/>
      <c r="O19" s="16"/>
      <c r="P19" s="16"/>
      <c r="Q19" s="16"/>
      <c r="R19" s="16"/>
      <c r="S19" t="s">
        <v>52</v>
      </c>
      <c r="T19" t="s">
        <v>53</v>
      </c>
      <c r="U19" s="5" t="s">
        <v>54</v>
      </c>
      <c r="V19" s="5">
        <f>F19</f>
        <v>7.23</v>
      </c>
      <c r="W19" s="5">
        <f>F19+F32</f>
        <v>7.23</v>
      </c>
      <c r="X19" s="5">
        <f t="shared" si="2"/>
        <v>7.2299999999987632</v>
      </c>
      <c r="Y19" s="5">
        <f>F45+F58</f>
        <v>62615.864805994977</v>
      </c>
      <c r="Z19" s="5">
        <f>F71+F58</f>
        <v>90194.992642252168</v>
      </c>
    </row>
    <row r="20" spans="1:26" x14ac:dyDescent="0.35">
      <c r="A20" t="s">
        <v>17</v>
      </c>
      <c r="B20" t="s">
        <v>18</v>
      </c>
      <c r="C20" s="1">
        <v>2020</v>
      </c>
      <c r="D20" t="s">
        <v>19</v>
      </c>
      <c r="E20" s="16">
        <f>F20*G20</f>
        <v>-2.1844347233811669E-3</v>
      </c>
      <c r="F20" s="18">
        <v>-9.9999999993761619E-7</v>
      </c>
      <c r="G20" s="16">
        <v>2184.43472351744</v>
      </c>
      <c r="H20" s="17">
        <v>0.23099999999999998</v>
      </c>
      <c r="I20" s="16">
        <f>H20*F20</f>
        <v>-2.3099999998558931E-7</v>
      </c>
      <c r="J20" s="16">
        <f>H20*F20</f>
        <v>-2.3099999998558931E-7</v>
      </c>
      <c r="K20" s="16"/>
      <c r="L20" s="16"/>
      <c r="M20" s="16">
        <v>330.52250880000003</v>
      </c>
      <c r="N20" s="16">
        <f>M20*F20</f>
        <v>-3.305225087793808E-4</v>
      </c>
      <c r="O20" s="16">
        <f>M20*F20</f>
        <v>-3.305225087793808E-4</v>
      </c>
      <c r="P20" s="16"/>
      <c r="Q20" s="16"/>
      <c r="R20" s="16"/>
      <c r="S20" s="16"/>
    </row>
    <row r="21" spans="1:26" x14ac:dyDescent="0.35">
      <c r="A21" t="s">
        <v>20</v>
      </c>
      <c r="B21" t="s">
        <v>21</v>
      </c>
      <c r="C21" s="1">
        <v>2020</v>
      </c>
      <c r="D21" t="s">
        <v>22</v>
      </c>
      <c r="E21" s="16">
        <f t="shared" ref="E21:E71" si="5">F21*G21</f>
        <v>0</v>
      </c>
      <c r="F21" s="18">
        <v>0</v>
      </c>
      <c r="G21" s="16">
        <v>4114.4303122592</v>
      </c>
      <c r="H21" s="17">
        <v>0.36549999999999999</v>
      </c>
      <c r="I21" s="16">
        <f t="shared" ref="I21:I32" si="6">H21*F21</f>
        <v>0</v>
      </c>
      <c r="J21" s="16">
        <f t="shared" ref="J21:J45" si="7">H21*F21</f>
        <v>0</v>
      </c>
      <c r="K21" s="16">
        <f>H21*F21</f>
        <v>0</v>
      </c>
      <c r="L21" s="16">
        <f>H21*F21</f>
        <v>0</v>
      </c>
      <c r="M21" s="16">
        <v>402.68658988799996</v>
      </c>
      <c r="N21" s="16">
        <f t="shared" ref="N21:N24" si="8">M21*F21</f>
        <v>0</v>
      </c>
      <c r="O21" s="16">
        <f>M21*F21</f>
        <v>0</v>
      </c>
      <c r="P21" s="16">
        <f>M21*F21</f>
        <v>0</v>
      </c>
      <c r="Q21" s="16">
        <f>M21*F21</f>
        <v>0</v>
      </c>
      <c r="R21" s="16"/>
      <c r="S21" s="19" t="s">
        <v>55</v>
      </c>
      <c r="T21" s="20" t="s">
        <v>2</v>
      </c>
      <c r="U21" s="12"/>
      <c r="V21" s="15">
        <v>2018</v>
      </c>
      <c r="W21" s="15">
        <v>2020</v>
      </c>
      <c r="X21" s="15">
        <v>2030</v>
      </c>
      <c r="Y21" s="15">
        <v>2040</v>
      </c>
      <c r="Z21" s="15">
        <v>2050</v>
      </c>
    </row>
    <row r="22" spans="1:26" x14ac:dyDescent="0.35">
      <c r="A22" t="s">
        <v>23</v>
      </c>
      <c r="B22" t="s">
        <v>24</v>
      </c>
      <c r="C22" s="1">
        <v>2020</v>
      </c>
      <c r="D22" t="s">
        <v>25</v>
      </c>
      <c r="E22" s="16">
        <f t="shared" si="5"/>
        <v>4.0311233826494765E-11</v>
      </c>
      <c r="F22" s="18">
        <v>2.0676991254245893E-14</v>
      </c>
      <c r="G22" s="16">
        <v>1949.5696124655999</v>
      </c>
      <c r="H22" s="17">
        <v>0.29749999999999999</v>
      </c>
      <c r="I22" s="16">
        <f t="shared" si="6"/>
        <v>6.151404898138153E-15</v>
      </c>
      <c r="J22" s="16">
        <f t="shared" si="7"/>
        <v>6.151404898138153E-15</v>
      </c>
      <c r="K22" s="16"/>
      <c r="L22" s="16"/>
      <c r="M22" s="16">
        <v>312.16014719999998</v>
      </c>
      <c r="N22" s="16">
        <f t="shared" si="8"/>
        <v>6.4545326335785103E-12</v>
      </c>
      <c r="O22" s="16">
        <f t="shared" ref="O22" si="9">M22*F22</f>
        <v>6.4545326335785103E-12</v>
      </c>
      <c r="P22" s="16"/>
      <c r="Q22" s="16"/>
      <c r="R22" s="16"/>
      <c r="S22" t="s">
        <v>17</v>
      </c>
      <c r="T22" t="s">
        <v>18</v>
      </c>
      <c r="U22" s="5" t="s">
        <v>19</v>
      </c>
      <c r="V22" s="5">
        <v>12271.47</v>
      </c>
      <c r="W22">
        <f>V22*1.2</f>
        <v>14725.763999999999</v>
      </c>
      <c r="X22">
        <f t="shared" ref="X22:Z22" si="10">W22*1.2</f>
        <v>17670.916799999999</v>
      </c>
      <c r="Y22">
        <f t="shared" si="10"/>
        <v>21205.100159999998</v>
      </c>
      <c r="Z22">
        <f t="shared" si="10"/>
        <v>25446.120191999998</v>
      </c>
    </row>
    <row r="23" spans="1:26" x14ac:dyDescent="0.35">
      <c r="A23" t="s">
        <v>26</v>
      </c>
      <c r="B23" t="s">
        <v>27</v>
      </c>
      <c r="C23" s="1">
        <v>2020</v>
      </c>
      <c r="D23" t="s">
        <v>28</v>
      </c>
      <c r="E23" s="16">
        <f t="shared" si="5"/>
        <v>2465528.9801530736</v>
      </c>
      <c r="F23" s="18">
        <v>1312.234322940436</v>
      </c>
      <c r="G23" s="16">
        <v>1878.8785943568</v>
      </c>
      <c r="H23" s="17">
        <v>0.48449999999999993</v>
      </c>
      <c r="I23" s="16">
        <f t="shared" si="6"/>
        <v>635.77752946464113</v>
      </c>
      <c r="J23" s="16">
        <f t="shared" si="7"/>
        <v>635.77752946464113</v>
      </c>
      <c r="K23" s="16">
        <f>H23*F23</f>
        <v>635.77752946464113</v>
      </c>
      <c r="L23" s="16"/>
      <c r="M23" s="16">
        <v>238.802512608</v>
      </c>
      <c r="N23" s="16">
        <f t="shared" si="8"/>
        <v>313364.8534486338</v>
      </c>
      <c r="O23" s="16">
        <f>M23*F23</f>
        <v>313364.8534486338</v>
      </c>
      <c r="P23" s="16">
        <f>M23*F23</f>
        <v>313364.8534486338</v>
      </c>
      <c r="Q23" s="16"/>
      <c r="R23" s="16"/>
      <c r="S23" t="s">
        <v>20</v>
      </c>
      <c r="T23" t="s">
        <v>21</v>
      </c>
      <c r="U23" s="5" t="s">
        <v>22</v>
      </c>
      <c r="V23" s="5">
        <v>4145.5</v>
      </c>
      <c r="W23">
        <f t="shared" ref="W23:Z34" si="11">V23*1.2</f>
        <v>4974.5999999999995</v>
      </c>
      <c r="X23">
        <f t="shared" si="11"/>
        <v>5969.5199999999995</v>
      </c>
      <c r="Y23">
        <f t="shared" si="11"/>
        <v>7163.4239999999991</v>
      </c>
      <c r="Z23">
        <f t="shared" si="11"/>
        <v>8596.1087999999982</v>
      </c>
    </row>
    <row r="24" spans="1:26" x14ac:dyDescent="0.35">
      <c r="A24" t="s">
        <v>29</v>
      </c>
      <c r="B24" t="s">
        <v>24</v>
      </c>
      <c r="C24" s="1">
        <v>2020</v>
      </c>
      <c r="D24" t="s">
        <v>30</v>
      </c>
      <c r="E24" s="16">
        <f t="shared" si="5"/>
        <v>0</v>
      </c>
      <c r="F24" s="18">
        <v>0</v>
      </c>
      <c r="G24" s="16">
        <v>901.87859435680002</v>
      </c>
      <c r="H24" s="17">
        <v>0.32300000000000001</v>
      </c>
      <c r="I24" s="16">
        <f t="shared" si="6"/>
        <v>0</v>
      </c>
      <c r="J24" s="16">
        <f t="shared" si="7"/>
        <v>0</v>
      </c>
      <c r="K24" s="16">
        <f t="shared" ref="K24:K28" si="12">H24*F24</f>
        <v>0</v>
      </c>
      <c r="L24" s="16"/>
      <c r="M24" s="16">
        <v>238.802512608</v>
      </c>
      <c r="N24" s="16">
        <f t="shared" si="8"/>
        <v>0</v>
      </c>
      <c r="O24" s="16">
        <f>M24*F24</f>
        <v>0</v>
      </c>
      <c r="P24" s="16">
        <f>M24*F24</f>
        <v>0</v>
      </c>
      <c r="Q24" s="16"/>
      <c r="R24" s="16"/>
      <c r="S24" t="s">
        <v>23</v>
      </c>
      <c r="T24" t="s">
        <v>24</v>
      </c>
      <c r="U24" s="5" t="s">
        <v>25</v>
      </c>
      <c r="V24" s="5">
        <v>13403.16</v>
      </c>
      <c r="W24">
        <f t="shared" si="11"/>
        <v>16083.791999999999</v>
      </c>
      <c r="X24">
        <f t="shared" si="11"/>
        <v>19300.5504</v>
      </c>
      <c r="Y24">
        <f t="shared" si="11"/>
        <v>23160.660479999999</v>
      </c>
      <c r="Z24">
        <f t="shared" si="11"/>
        <v>27792.792575999996</v>
      </c>
    </row>
    <row r="25" spans="1:26" x14ac:dyDescent="0.35">
      <c r="A25" t="s">
        <v>31</v>
      </c>
      <c r="B25" t="s">
        <v>32</v>
      </c>
      <c r="C25" s="1">
        <v>2020</v>
      </c>
      <c r="D25" t="s">
        <v>33</v>
      </c>
      <c r="E25" s="16">
        <f t="shared" si="5"/>
        <v>0</v>
      </c>
      <c r="F25" s="18">
        <v>0</v>
      </c>
      <c r="G25" s="16">
        <v>6465.8</v>
      </c>
      <c r="H25" s="17">
        <v>0.62</v>
      </c>
      <c r="I25" s="16">
        <f t="shared" si="6"/>
        <v>0</v>
      </c>
      <c r="J25" s="16">
        <f t="shared" si="7"/>
        <v>0</v>
      </c>
      <c r="K25" s="16">
        <f t="shared" si="12"/>
        <v>0</v>
      </c>
      <c r="L25" s="16">
        <f>H25*F25</f>
        <v>0</v>
      </c>
      <c r="M25" s="16"/>
      <c r="N25" s="16"/>
      <c r="O25" s="16"/>
      <c r="P25" s="16"/>
      <c r="Q25" s="16"/>
      <c r="R25" s="16"/>
      <c r="S25" t="s">
        <v>26</v>
      </c>
      <c r="T25" t="s">
        <v>27</v>
      </c>
      <c r="U25" s="5" t="s">
        <v>28</v>
      </c>
      <c r="V25" s="5">
        <v>19287.36</v>
      </c>
      <c r="W25">
        <f t="shared" si="11"/>
        <v>23144.831999999999</v>
      </c>
      <c r="X25">
        <f t="shared" si="11"/>
        <v>27773.798399999996</v>
      </c>
      <c r="Y25">
        <f t="shared" si="11"/>
        <v>33328.558079999995</v>
      </c>
      <c r="Z25">
        <f t="shared" si="11"/>
        <v>39994.269695999996</v>
      </c>
    </row>
    <row r="26" spans="1:26" x14ac:dyDescent="0.35">
      <c r="A26" t="s">
        <v>34</v>
      </c>
      <c r="B26" t="s">
        <v>35</v>
      </c>
      <c r="C26" s="1">
        <v>2020</v>
      </c>
      <c r="D26" t="s">
        <v>36</v>
      </c>
      <c r="E26" s="16">
        <f t="shared" si="5"/>
        <v>0</v>
      </c>
      <c r="F26" s="18">
        <v>0</v>
      </c>
      <c r="G26" s="16">
        <v>6026.8</v>
      </c>
      <c r="H26" s="17">
        <v>0.62</v>
      </c>
      <c r="I26" s="16">
        <f t="shared" si="6"/>
        <v>0</v>
      </c>
      <c r="J26" s="16">
        <f t="shared" si="7"/>
        <v>0</v>
      </c>
      <c r="K26" s="16">
        <f t="shared" si="12"/>
        <v>0</v>
      </c>
      <c r="L26" s="16">
        <f t="shared" ref="L26:L27" si="13">H26*F26</f>
        <v>0</v>
      </c>
      <c r="M26" s="16"/>
      <c r="N26" s="16"/>
      <c r="O26" s="16"/>
      <c r="P26" s="16"/>
      <c r="Q26" s="16"/>
      <c r="R26" s="16"/>
      <c r="S26" t="s">
        <v>29</v>
      </c>
      <c r="T26" t="s">
        <v>24</v>
      </c>
      <c r="U26" s="5" t="s">
        <v>30</v>
      </c>
      <c r="V26" s="5">
        <v>718.16</v>
      </c>
      <c r="W26">
        <f t="shared" si="11"/>
        <v>861.79199999999992</v>
      </c>
      <c r="X26">
        <f t="shared" si="11"/>
        <v>1034.1503999999998</v>
      </c>
      <c r="Y26">
        <f t="shared" si="11"/>
        <v>1240.9804799999997</v>
      </c>
      <c r="Z26">
        <f t="shared" si="11"/>
        <v>1489.1765759999996</v>
      </c>
    </row>
    <row r="27" spans="1:26" x14ac:dyDescent="0.35">
      <c r="A27" t="s">
        <v>37</v>
      </c>
      <c r="B27" t="s">
        <v>38</v>
      </c>
      <c r="C27" s="1">
        <v>2020</v>
      </c>
      <c r="D27" t="s">
        <v>39</v>
      </c>
      <c r="E27" s="16">
        <f t="shared" si="5"/>
        <v>0</v>
      </c>
      <c r="F27" s="18">
        <v>0</v>
      </c>
      <c r="G27" s="16">
        <v>7025.8</v>
      </c>
      <c r="H27" s="17">
        <v>0.62</v>
      </c>
      <c r="I27" s="16">
        <f t="shared" si="6"/>
        <v>0</v>
      </c>
      <c r="J27" s="16">
        <f t="shared" si="7"/>
        <v>0</v>
      </c>
      <c r="K27" s="16">
        <f t="shared" si="12"/>
        <v>0</v>
      </c>
      <c r="L27" s="16">
        <f t="shared" si="13"/>
        <v>0</v>
      </c>
      <c r="M27" s="16"/>
      <c r="N27" s="16"/>
      <c r="O27" s="16"/>
      <c r="P27" s="16"/>
      <c r="Q27" s="16"/>
      <c r="R27" s="16"/>
      <c r="S27" t="s">
        <v>31</v>
      </c>
      <c r="T27" t="s">
        <v>32</v>
      </c>
      <c r="U27" s="5" t="s">
        <v>33</v>
      </c>
      <c r="V27" s="5">
        <v>88787</v>
      </c>
      <c r="W27">
        <f t="shared" si="11"/>
        <v>106544.4</v>
      </c>
      <c r="X27">
        <f t="shared" si="11"/>
        <v>127853.27999999998</v>
      </c>
      <c r="Y27">
        <f t="shared" si="11"/>
        <v>153423.93599999999</v>
      </c>
      <c r="Z27">
        <f t="shared" si="11"/>
        <v>184108.72319999998</v>
      </c>
    </row>
    <row r="28" spans="1:26" x14ac:dyDescent="0.35">
      <c r="A28" t="s">
        <v>40</v>
      </c>
      <c r="B28" t="s">
        <v>41</v>
      </c>
      <c r="C28" s="1">
        <v>2020</v>
      </c>
      <c r="D28" t="s">
        <v>42</v>
      </c>
      <c r="E28" s="16">
        <f t="shared" si="5"/>
        <v>9.0345480302625312E-11</v>
      </c>
      <c r="F28" s="18">
        <v>1.7683143764716362E-14</v>
      </c>
      <c r="G28" s="16">
        <v>5109.13</v>
      </c>
      <c r="H28" s="17">
        <v>0.33</v>
      </c>
      <c r="I28" s="16">
        <f t="shared" si="6"/>
        <v>5.8354374423563998E-15</v>
      </c>
      <c r="J28" s="16">
        <f t="shared" si="7"/>
        <v>5.8354374423563998E-15</v>
      </c>
      <c r="K28" s="16">
        <f t="shared" si="12"/>
        <v>5.8354374423563998E-15</v>
      </c>
      <c r="L28" s="16"/>
      <c r="M28" s="16"/>
      <c r="N28" s="16"/>
      <c r="O28" s="16"/>
      <c r="P28" s="16"/>
      <c r="Q28" s="16"/>
      <c r="R28" s="16"/>
      <c r="S28" t="s">
        <v>34</v>
      </c>
      <c r="T28" t="s">
        <v>35</v>
      </c>
      <c r="U28" s="5" t="s">
        <v>36</v>
      </c>
      <c r="V28" s="5">
        <v>6917</v>
      </c>
      <c r="W28">
        <f t="shared" si="11"/>
        <v>8300.4</v>
      </c>
      <c r="X28">
        <f t="shared" si="11"/>
        <v>9960.48</v>
      </c>
      <c r="Y28">
        <f t="shared" si="11"/>
        <v>11952.575999999999</v>
      </c>
      <c r="Z28">
        <f t="shared" si="11"/>
        <v>14343.091199999999</v>
      </c>
    </row>
    <row r="29" spans="1:26" x14ac:dyDescent="0.35">
      <c r="A29" t="s">
        <v>43</v>
      </c>
      <c r="B29" t="s">
        <v>44</v>
      </c>
      <c r="C29" s="1">
        <v>2020</v>
      </c>
      <c r="D29" t="s">
        <v>45</v>
      </c>
      <c r="E29" s="16">
        <f t="shared" si="5"/>
        <v>0</v>
      </c>
      <c r="F29" s="18">
        <v>0</v>
      </c>
      <c r="G29" s="16">
        <v>7454.99</v>
      </c>
      <c r="H29" s="17">
        <v>0.24</v>
      </c>
      <c r="I29" s="16">
        <f t="shared" si="6"/>
        <v>0</v>
      </c>
      <c r="J29" s="16">
        <f t="shared" si="7"/>
        <v>0</v>
      </c>
      <c r="K29" s="16"/>
      <c r="L29" s="16"/>
      <c r="M29" s="16"/>
      <c r="N29" s="16"/>
      <c r="O29" s="16"/>
      <c r="P29" s="16"/>
      <c r="Q29" s="16"/>
      <c r="R29" s="16"/>
      <c r="S29" t="s">
        <v>37</v>
      </c>
      <c r="T29" t="s">
        <v>38</v>
      </c>
      <c r="U29" s="5" t="s">
        <v>39</v>
      </c>
      <c r="V29" s="5">
        <v>1062</v>
      </c>
      <c r="W29">
        <f t="shared" si="11"/>
        <v>1274.3999999999999</v>
      </c>
      <c r="X29">
        <f t="shared" si="11"/>
        <v>1529.2799999999997</v>
      </c>
      <c r="Y29">
        <f t="shared" si="11"/>
        <v>1835.1359999999997</v>
      </c>
      <c r="Z29">
        <f t="shared" si="11"/>
        <v>2202.1631999999995</v>
      </c>
    </row>
    <row r="30" spans="1:26" x14ac:dyDescent="0.35">
      <c r="A30" t="s">
        <v>46</v>
      </c>
      <c r="B30" t="s">
        <v>47</v>
      </c>
      <c r="C30" s="1">
        <v>2020</v>
      </c>
      <c r="D30" t="s">
        <v>48</v>
      </c>
      <c r="E30" s="16">
        <f t="shared" si="5"/>
        <v>0</v>
      </c>
      <c r="F30" s="18">
        <v>0</v>
      </c>
      <c r="G30" s="16">
        <v>13899.599999999999</v>
      </c>
      <c r="H30" s="17">
        <v>0.29749999999999999</v>
      </c>
      <c r="I30" s="16">
        <f t="shared" si="6"/>
        <v>0</v>
      </c>
      <c r="J30" s="16">
        <f t="shared" si="7"/>
        <v>0</v>
      </c>
      <c r="K30" s="16">
        <f>H30*F30</f>
        <v>0</v>
      </c>
      <c r="L30" s="16">
        <f>H30*F30</f>
        <v>0</v>
      </c>
      <c r="M30" s="16"/>
      <c r="N30" s="16"/>
      <c r="O30" s="16"/>
      <c r="P30" s="16"/>
      <c r="Q30" s="16"/>
      <c r="R30" s="16"/>
      <c r="S30" t="s">
        <v>40</v>
      </c>
      <c r="T30" t="s">
        <v>41</v>
      </c>
      <c r="U30" s="5" t="s">
        <v>42</v>
      </c>
      <c r="V30" s="5">
        <v>11378.17</v>
      </c>
      <c r="W30">
        <f t="shared" si="11"/>
        <v>13653.804</v>
      </c>
      <c r="X30">
        <f t="shared" si="11"/>
        <v>16384.5648</v>
      </c>
      <c r="Y30">
        <f t="shared" si="11"/>
        <v>19661.477759999998</v>
      </c>
      <c r="Z30">
        <f t="shared" si="11"/>
        <v>23593.773311999998</v>
      </c>
    </row>
    <row r="31" spans="1:26" x14ac:dyDescent="0.35">
      <c r="A31" t="s">
        <v>49</v>
      </c>
      <c r="B31" t="s">
        <v>50</v>
      </c>
      <c r="C31" s="1">
        <v>2020</v>
      </c>
      <c r="D31" t="s">
        <v>51</v>
      </c>
      <c r="E31" s="16">
        <f t="shared" si="5"/>
        <v>16377015.962863132</v>
      </c>
      <c r="F31" s="18">
        <v>7257.3211098293614</v>
      </c>
      <c r="G31" s="16">
        <v>2256.62</v>
      </c>
      <c r="H31" s="17">
        <v>0.28999999999999998</v>
      </c>
      <c r="I31" s="16">
        <f t="shared" si="6"/>
        <v>2104.6231218505145</v>
      </c>
      <c r="J31" s="16">
        <f t="shared" si="7"/>
        <v>2104.6231218505145</v>
      </c>
      <c r="K31" s="16"/>
      <c r="L31" s="16"/>
      <c r="R31" s="16"/>
      <c r="S31" t="s">
        <v>43</v>
      </c>
      <c r="T31" t="s">
        <v>44</v>
      </c>
      <c r="U31" s="5" t="s">
        <v>45</v>
      </c>
      <c r="V31" s="5">
        <v>0</v>
      </c>
      <c r="W31">
        <f t="shared" si="11"/>
        <v>0</v>
      </c>
      <c r="X31">
        <f t="shared" si="11"/>
        <v>0</v>
      </c>
      <c r="Y31">
        <f t="shared" si="11"/>
        <v>0</v>
      </c>
      <c r="Z31">
        <f t="shared" si="11"/>
        <v>0</v>
      </c>
    </row>
    <row r="32" spans="1:26" x14ac:dyDescent="0.35">
      <c r="A32" t="s">
        <v>52</v>
      </c>
      <c r="B32" t="s">
        <v>53</v>
      </c>
      <c r="C32" s="1">
        <v>2020</v>
      </c>
      <c r="D32" t="s">
        <v>54</v>
      </c>
      <c r="E32" s="16">
        <f t="shared" si="5"/>
        <v>0</v>
      </c>
      <c r="F32" s="18">
        <v>0</v>
      </c>
      <c r="G32" s="16">
        <v>6048</v>
      </c>
      <c r="H32" s="17">
        <v>0.28999999999999998</v>
      </c>
      <c r="I32" s="16">
        <f t="shared" si="6"/>
        <v>0</v>
      </c>
      <c r="J32" s="16">
        <f t="shared" si="7"/>
        <v>0</v>
      </c>
      <c r="K32" s="16"/>
      <c r="L32" s="16"/>
      <c r="R32" s="16"/>
      <c r="S32" t="s">
        <v>46</v>
      </c>
      <c r="T32" t="s">
        <v>47</v>
      </c>
      <c r="U32" s="5" t="s">
        <v>48</v>
      </c>
      <c r="V32" s="5">
        <v>1990</v>
      </c>
      <c r="W32">
        <f t="shared" si="11"/>
        <v>2388</v>
      </c>
      <c r="X32">
        <f t="shared" si="11"/>
        <v>2865.6</v>
      </c>
      <c r="Y32">
        <f t="shared" si="11"/>
        <v>3438.72</v>
      </c>
      <c r="Z32">
        <f t="shared" si="11"/>
        <v>4126.4639999999999</v>
      </c>
    </row>
    <row r="33" spans="1:26" x14ac:dyDescent="0.35">
      <c r="A33" t="s">
        <v>17</v>
      </c>
      <c r="B33" t="s">
        <v>18</v>
      </c>
      <c r="C33" s="1">
        <v>2030</v>
      </c>
      <c r="D33" t="s">
        <v>19</v>
      </c>
      <c r="E33" s="16">
        <f t="shared" si="5"/>
        <v>0</v>
      </c>
      <c r="F33" s="18">
        <v>0</v>
      </c>
      <c r="G33" s="16">
        <v>2184.43472351744</v>
      </c>
      <c r="H33" s="17">
        <v>0.23099999999999998</v>
      </c>
      <c r="I33" s="16"/>
      <c r="J33" s="16">
        <f t="shared" si="7"/>
        <v>0</v>
      </c>
      <c r="K33" s="16">
        <f>H33*F33</f>
        <v>0</v>
      </c>
      <c r="L33" s="16"/>
      <c r="M33" s="16">
        <v>330.52250880000003</v>
      </c>
      <c r="N33" s="16"/>
      <c r="O33" s="16">
        <f>M33*F33</f>
        <v>0</v>
      </c>
      <c r="P33" s="16">
        <f>M33*F33</f>
        <v>0</v>
      </c>
      <c r="Q33" s="16"/>
      <c r="R33" s="16"/>
      <c r="S33" t="s">
        <v>49</v>
      </c>
      <c r="T33" t="s">
        <v>50</v>
      </c>
      <c r="U33" s="5" t="s">
        <v>51</v>
      </c>
      <c r="V33">
        <v>6</v>
      </c>
      <c r="W33">
        <f t="shared" si="11"/>
        <v>7.1999999999999993</v>
      </c>
      <c r="X33">
        <f t="shared" si="11"/>
        <v>8.6399999999999988</v>
      </c>
      <c r="Y33">
        <f t="shared" si="11"/>
        <v>10.367999999999999</v>
      </c>
      <c r="Z33">
        <f t="shared" si="11"/>
        <v>12.441599999999998</v>
      </c>
    </row>
    <row r="34" spans="1:26" x14ac:dyDescent="0.35">
      <c r="A34" t="s">
        <v>20</v>
      </c>
      <c r="B34" t="s">
        <v>21</v>
      </c>
      <c r="C34" s="1">
        <v>2030</v>
      </c>
      <c r="D34" t="s">
        <v>22</v>
      </c>
      <c r="E34" s="16">
        <f t="shared" si="5"/>
        <v>-3.2666715885308543E-3</v>
      </c>
      <c r="F34" s="18">
        <v>-7.9388495990888139E-7</v>
      </c>
      <c r="G34" s="16">
        <v>4114.7921342480004</v>
      </c>
      <c r="H34" s="17">
        <v>0.36549999999999999</v>
      </c>
      <c r="I34" s="16"/>
      <c r="J34" s="16">
        <f t="shared" si="7"/>
        <v>-2.9016495284669616E-7</v>
      </c>
      <c r="K34" s="16">
        <f t="shared" ref="K34:K58" si="14">H34*F34</f>
        <v>-2.9016495284669616E-7</v>
      </c>
      <c r="L34" s="16">
        <f>H34*F34</f>
        <v>-2.9016495284669616E-7</v>
      </c>
      <c r="M34" s="16">
        <v>402.68658988799996</v>
      </c>
      <c r="N34" s="16"/>
      <c r="O34" s="16">
        <f t="shared" ref="O34:O37" si="15">M34*F34</f>
        <v>-3.1968682726907899E-4</v>
      </c>
      <c r="P34" s="16">
        <f>M34*F34</f>
        <v>-3.1968682726907899E-4</v>
      </c>
      <c r="Q34" s="16">
        <f>M34*F34</f>
        <v>-3.1968682726907899E-4</v>
      </c>
      <c r="R34" s="16"/>
      <c r="S34" t="s">
        <v>52</v>
      </c>
      <c r="T34" t="s">
        <v>53</v>
      </c>
      <c r="U34" s="5" t="s">
        <v>54</v>
      </c>
      <c r="V34" s="5">
        <v>7.2</v>
      </c>
      <c r="W34">
        <f t="shared" si="11"/>
        <v>8.64</v>
      </c>
      <c r="X34">
        <f t="shared" si="11"/>
        <v>10.368</v>
      </c>
      <c r="Y34">
        <f t="shared" si="11"/>
        <v>12.441599999999999</v>
      </c>
      <c r="Z34">
        <f t="shared" si="11"/>
        <v>14.929919999999999</v>
      </c>
    </row>
    <row r="35" spans="1:26" x14ac:dyDescent="0.35">
      <c r="A35" t="s">
        <v>23</v>
      </c>
      <c r="B35" t="s">
        <v>24</v>
      </c>
      <c r="C35" s="1">
        <v>2030</v>
      </c>
      <c r="D35" t="s">
        <v>25</v>
      </c>
      <c r="E35" s="16">
        <f t="shared" si="5"/>
        <v>0</v>
      </c>
      <c r="F35" s="18">
        <v>0</v>
      </c>
      <c r="G35" s="16">
        <v>1951.8469626304</v>
      </c>
      <c r="H35" s="17">
        <v>0.29749999999999999</v>
      </c>
      <c r="I35" s="16"/>
      <c r="J35" s="16">
        <f t="shared" si="7"/>
        <v>0</v>
      </c>
      <c r="K35" s="16">
        <f t="shared" si="14"/>
        <v>0</v>
      </c>
      <c r="L35" s="16"/>
      <c r="M35" s="16">
        <v>312.16014719999998</v>
      </c>
      <c r="N35" s="16"/>
      <c r="O35" s="16">
        <f t="shared" si="15"/>
        <v>0</v>
      </c>
      <c r="P35" s="16">
        <f t="shared" ref="P35:P37" si="16">M35*F35</f>
        <v>0</v>
      </c>
      <c r="Q35" s="16"/>
      <c r="R35" s="16"/>
      <c r="S35" s="16"/>
    </row>
    <row r="36" spans="1:26" x14ac:dyDescent="0.35">
      <c r="A36" t="s">
        <v>26</v>
      </c>
      <c r="B36" t="s">
        <v>27</v>
      </c>
      <c r="C36" s="1">
        <v>2030</v>
      </c>
      <c r="D36" t="s">
        <v>28</v>
      </c>
      <c r="E36" s="16">
        <f t="shared" si="5"/>
        <v>-1.8825180978138325E-3</v>
      </c>
      <c r="F36" s="18">
        <v>-9.9999999995890213E-7</v>
      </c>
      <c r="G36" s="16">
        <v>1882.5180978911999</v>
      </c>
      <c r="H36" s="17">
        <v>0.48449999999999993</v>
      </c>
      <c r="I36" s="16"/>
      <c r="J36" s="16">
        <f t="shared" si="7"/>
        <v>-4.8449999998008803E-7</v>
      </c>
      <c r="K36" s="16">
        <f t="shared" si="14"/>
        <v>-4.8449999998008803E-7</v>
      </c>
      <c r="L36" s="16">
        <f>H36*F36</f>
        <v>-4.8449999998008803E-7</v>
      </c>
      <c r="M36" s="16">
        <v>238.802512608</v>
      </c>
      <c r="N36" s="16"/>
      <c r="O36" s="16">
        <f t="shared" si="15"/>
        <v>-2.3880251259818572E-4</v>
      </c>
      <c r="P36" s="16">
        <f t="shared" si="16"/>
        <v>-2.3880251259818572E-4</v>
      </c>
      <c r="Q36" s="16">
        <f>M34*F34</f>
        <v>-3.1968682726907899E-4</v>
      </c>
      <c r="R36" s="16"/>
      <c r="S36" s="19" t="s">
        <v>56</v>
      </c>
      <c r="T36" s="21" t="s">
        <v>1</v>
      </c>
      <c r="U36" s="12"/>
      <c r="V36" s="15">
        <v>2018</v>
      </c>
      <c r="W36" s="15">
        <v>2020</v>
      </c>
      <c r="X36" s="15">
        <v>2030</v>
      </c>
      <c r="Y36" s="15">
        <v>2040</v>
      </c>
      <c r="Z36" s="15">
        <v>2050</v>
      </c>
    </row>
    <row r="37" spans="1:26" x14ac:dyDescent="0.35">
      <c r="A37" t="s">
        <v>29</v>
      </c>
      <c r="B37" t="s">
        <v>24</v>
      </c>
      <c r="C37" s="1">
        <v>2030</v>
      </c>
      <c r="D37" t="s">
        <v>30</v>
      </c>
      <c r="E37" s="16">
        <f t="shared" si="5"/>
        <v>-1.3643958715280902E-11</v>
      </c>
      <c r="F37" s="18">
        <v>-1.5067571533970879E-14</v>
      </c>
      <c r="G37" s="16">
        <v>905.5180978912</v>
      </c>
      <c r="H37" s="17">
        <v>0.32300000000000001</v>
      </c>
      <c r="I37" s="16"/>
      <c r="J37" s="16">
        <f t="shared" si="7"/>
        <v>-4.8668256054725942E-15</v>
      </c>
      <c r="K37" s="16">
        <f t="shared" si="14"/>
        <v>-4.8668256054725942E-15</v>
      </c>
      <c r="L37" s="16">
        <f t="shared" ref="L37:L43" si="17">H37*F37</f>
        <v>-4.8668256054725942E-15</v>
      </c>
      <c r="M37" s="16">
        <v>238.802512608</v>
      </c>
      <c r="N37" s="16"/>
      <c r="O37" s="16">
        <f t="shared" si="15"/>
        <v>-3.5981739412130228E-12</v>
      </c>
      <c r="P37" s="16">
        <f t="shared" si="16"/>
        <v>-3.5981739412130228E-12</v>
      </c>
      <c r="Q37" s="16">
        <f>M34*F34</f>
        <v>-3.1968682726907899E-4</v>
      </c>
      <c r="R37" s="16"/>
      <c r="S37" t="s">
        <v>17</v>
      </c>
      <c r="T37" t="s">
        <v>18</v>
      </c>
      <c r="U37" s="5" t="s">
        <v>19</v>
      </c>
      <c r="V37" s="5">
        <v>12271.47</v>
      </c>
      <c r="W37" s="5">
        <f>V37*0.95</f>
        <v>11657.896499999999</v>
      </c>
      <c r="X37" s="5">
        <f t="shared" ref="X37:Z37" si="18">W37*0.95</f>
        <v>11075.001674999998</v>
      </c>
      <c r="Y37" s="5">
        <f t="shared" si="18"/>
        <v>10521.251591249997</v>
      </c>
      <c r="Z37" s="5">
        <f t="shared" si="18"/>
        <v>9995.1890116874965</v>
      </c>
    </row>
    <row r="38" spans="1:26" x14ac:dyDescent="0.35">
      <c r="A38" t="s">
        <v>31</v>
      </c>
      <c r="B38" t="s">
        <v>32</v>
      </c>
      <c r="C38" s="1">
        <v>2030</v>
      </c>
      <c r="D38" t="s">
        <v>33</v>
      </c>
      <c r="E38" s="16">
        <f t="shared" si="5"/>
        <v>0</v>
      </c>
      <c r="F38" s="18">
        <v>0</v>
      </c>
      <c r="G38" s="16">
        <v>6465.8</v>
      </c>
      <c r="H38" s="17">
        <v>0.62</v>
      </c>
      <c r="I38" s="16"/>
      <c r="J38" s="16">
        <f t="shared" si="7"/>
        <v>0</v>
      </c>
      <c r="K38" s="16">
        <f t="shared" si="14"/>
        <v>0</v>
      </c>
      <c r="L38" s="16">
        <f t="shared" si="17"/>
        <v>0</v>
      </c>
      <c r="M38" s="16"/>
      <c r="N38" s="16"/>
      <c r="O38" s="16"/>
      <c r="P38" s="16"/>
      <c r="Q38" s="16"/>
      <c r="R38" s="16"/>
      <c r="S38" t="s">
        <v>20</v>
      </c>
      <c r="T38" t="s">
        <v>21</v>
      </c>
      <c r="U38" s="5" t="s">
        <v>22</v>
      </c>
      <c r="V38" s="5">
        <v>4145.5</v>
      </c>
      <c r="W38" s="5">
        <f t="shared" ref="W38:Z49" si="19">V38*0.95</f>
        <v>3938.2249999999999</v>
      </c>
      <c r="X38" s="5">
        <f t="shared" si="19"/>
        <v>3741.3137499999998</v>
      </c>
      <c r="Y38" s="5">
        <f t="shared" si="19"/>
        <v>3554.2480624999998</v>
      </c>
      <c r="Z38" s="5">
        <f t="shared" si="19"/>
        <v>3376.5356593749998</v>
      </c>
    </row>
    <row r="39" spans="1:26" x14ac:dyDescent="0.35">
      <c r="A39" t="s">
        <v>34</v>
      </c>
      <c r="B39" t="s">
        <v>35</v>
      </c>
      <c r="C39" s="1">
        <v>2030</v>
      </c>
      <c r="D39" t="s">
        <v>36</v>
      </c>
      <c r="E39" s="16">
        <f t="shared" si="5"/>
        <v>0</v>
      </c>
      <c r="F39" s="18">
        <v>0</v>
      </c>
      <c r="G39" s="16">
        <v>6026.8</v>
      </c>
      <c r="H39" s="17">
        <v>0.62</v>
      </c>
      <c r="I39" s="16"/>
      <c r="J39" s="16">
        <f t="shared" si="7"/>
        <v>0</v>
      </c>
      <c r="K39" s="16">
        <f t="shared" si="14"/>
        <v>0</v>
      </c>
      <c r="L39" s="16">
        <f t="shared" si="17"/>
        <v>0</v>
      </c>
      <c r="M39" s="16"/>
      <c r="N39" s="16"/>
      <c r="O39" s="16"/>
      <c r="P39" s="16"/>
      <c r="Q39" s="16"/>
      <c r="R39" s="16"/>
      <c r="S39" t="s">
        <v>23</v>
      </c>
      <c r="T39" t="s">
        <v>24</v>
      </c>
      <c r="U39" s="5" t="s">
        <v>25</v>
      </c>
      <c r="V39" s="5">
        <v>13403.16</v>
      </c>
      <c r="W39" s="5">
        <f t="shared" si="19"/>
        <v>12733.001999999999</v>
      </c>
      <c r="X39" s="5">
        <f t="shared" si="19"/>
        <v>12096.351899999998</v>
      </c>
      <c r="Y39" s="5">
        <f t="shared" si="19"/>
        <v>11491.534304999997</v>
      </c>
      <c r="Z39" s="5">
        <f t="shared" si="19"/>
        <v>10916.957589749996</v>
      </c>
    </row>
    <row r="40" spans="1:26" x14ac:dyDescent="0.35">
      <c r="A40" t="s">
        <v>37</v>
      </c>
      <c r="B40" t="s">
        <v>38</v>
      </c>
      <c r="C40" s="1">
        <v>2030</v>
      </c>
      <c r="D40" t="s">
        <v>39</v>
      </c>
      <c r="E40" s="16">
        <f t="shared" si="5"/>
        <v>0</v>
      </c>
      <c r="F40" s="18">
        <v>0</v>
      </c>
      <c r="G40" s="16">
        <v>7025.8</v>
      </c>
      <c r="H40" s="17">
        <v>0.62</v>
      </c>
      <c r="I40" s="16"/>
      <c r="J40" s="16">
        <f t="shared" si="7"/>
        <v>0</v>
      </c>
      <c r="K40" s="16">
        <f t="shared" si="14"/>
        <v>0</v>
      </c>
      <c r="L40" s="16">
        <f t="shared" si="17"/>
        <v>0</v>
      </c>
      <c r="M40" s="16"/>
      <c r="N40" s="16"/>
      <c r="O40" s="16"/>
      <c r="P40" s="16"/>
      <c r="Q40" s="16"/>
      <c r="R40" s="16"/>
      <c r="S40" t="s">
        <v>26</v>
      </c>
      <c r="T40" t="s">
        <v>27</v>
      </c>
      <c r="U40" s="5" t="s">
        <v>28</v>
      </c>
      <c r="V40" s="5">
        <v>19287.36</v>
      </c>
      <c r="W40" s="5">
        <f t="shared" si="19"/>
        <v>18322.991999999998</v>
      </c>
      <c r="X40" s="5">
        <f t="shared" si="19"/>
        <v>17406.842399999998</v>
      </c>
      <c r="Y40" s="5">
        <f t="shared" si="19"/>
        <v>16536.500279999997</v>
      </c>
      <c r="Z40" s="5">
        <f t="shared" si="19"/>
        <v>15709.675265999997</v>
      </c>
    </row>
    <row r="41" spans="1:26" x14ac:dyDescent="0.35">
      <c r="A41" t="s">
        <v>40</v>
      </c>
      <c r="B41" t="s">
        <v>41</v>
      </c>
      <c r="C41" s="1">
        <v>2030</v>
      </c>
      <c r="D41" t="s">
        <v>42</v>
      </c>
      <c r="E41" s="16">
        <f t="shared" si="5"/>
        <v>7.7967464707188112E-11</v>
      </c>
      <c r="F41" s="18">
        <v>1.5373801320566723E-14</v>
      </c>
      <c r="G41" s="16">
        <v>5071.4500000000007</v>
      </c>
      <c r="H41" s="17">
        <v>0.33</v>
      </c>
      <c r="I41" s="16"/>
      <c r="J41" s="16">
        <f t="shared" si="7"/>
        <v>5.0733544357870184E-15</v>
      </c>
      <c r="K41" s="16">
        <f t="shared" si="14"/>
        <v>5.0733544357870184E-15</v>
      </c>
      <c r="L41" s="16">
        <f t="shared" si="17"/>
        <v>5.0733544357870184E-15</v>
      </c>
      <c r="M41" s="16"/>
      <c r="N41" s="16"/>
      <c r="O41" s="16"/>
      <c r="P41" s="16"/>
      <c r="Q41" s="16"/>
      <c r="R41" s="16"/>
      <c r="S41" t="s">
        <v>29</v>
      </c>
      <c r="T41" t="s">
        <v>24</v>
      </c>
      <c r="U41" s="5" t="s">
        <v>30</v>
      </c>
      <c r="V41" s="5">
        <v>718.16</v>
      </c>
      <c r="W41" s="5">
        <f t="shared" si="19"/>
        <v>682.25199999999995</v>
      </c>
      <c r="X41" s="5">
        <f t="shared" si="19"/>
        <v>648.13939999999991</v>
      </c>
      <c r="Y41" s="5">
        <f t="shared" si="19"/>
        <v>615.73242999999991</v>
      </c>
      <c r="Z41" s="5">
        <f t="shared" si="19"/>
        <v>584.94580849999988</v>
      </c>
    </row>
    <row r="42" spans="1:26" x14ac:dyDescent="0.35">
      <c r="A42" t="s">
        <v>43</v>
      </c>
      <c r="B42" t="s">
        <v>44</v>
      </c>
      <c r="C42" s="1">
        <v>2030</v>
      </c>
      <c r="D42" t="s">
        <v>45</v>
      </c>
      <c r="E42" s="16">
        <f t="shared" si="5"/>
        <v>0</v>
      </c>
      <c r="F42" s="18">
        <v>0</v>
      </c>
      <c r="G42" s="16">
        <v>7279.17</v>
      </c>
      <c r="H42" s="17">
        <v>0.24</v>
      </c>
      <c r="I42" s="16"/>
      <c r="J42" s="16">
        <f t="shared" si="7"/>
        <v>0</v>
      </c>
      <c r="K42" s="16">
        <f t="shared" si="14"/>
        <v>0</v>
      </c>
      <c r="L42" s="16"/>
      <c r="M42" s="16"/>
      <c r="N42" s="16"/>
      <c r="O42" s="16"/>
      <c r="P42" s="16"/>
      <c r="Q42" s="16"/>
      <c r="R42" s="16"/>
      <c r="S42" t="s">
        <v>31</v>
      </c>
      <c r="T42" t="s">
        <v>32</v>
      </c>
      <c r="U42" s="5" t="s">
        <v>33</v>
      </c>
      <c r="V42" s="5">
        <v>88787</v>
      </c>
      <c r="W42" s="5">
        <f t="shared" si="19"/>
        <v>84347.65</v>
      </c>
      <c r="X42" s="5">
        <f t="shared" si="19"/>
        <v>80130.267499999987</v>
      </c>
      <c r="Y42" s="5">
        <f t="shared" si="19"/>
        <v>76123.754124999978</v>
      </c>
      <c r="Z42" s="5">
        <f t="shared" si="19"/>
        <v>72317.566418749979</v>
      </c>
    </row>
    <row r="43" spans="1:26" x14ac:dyDescent="0.35">
      <c r="A43" t="s">
        <v>46</v>
      </c>
      <c r="B43" t="s">
        <v>47</v>
      </c>
      <c r="C43" s="1">
        <v>2030</v>
      </c>
      <c r="D43" t="s">
        <v>48</v>
      </c>
      <c r="E43" s="16">
        <f t="shared" si="5"/>
        <v>0</v>
      </c>
      <c r="F43" s="18">
        <v>0</v>
      </c>
      <c r="G43" s="16">
        <v>13899.599999999999</v>
      </c>
      <c r="H43" s="17">
        <v>0.29749999999999999</v>
      </c>
      <c r="I43" s="16"/>
      <c r="J43" s="16">
        <f t="shared" si="7"/>
        <v>0</v>
      </c>
      <c r="K43" s="16">
        <f t="shared" si="14"/>
        <v>0</v>
      </c>
      <c r="L43" s="16">
        <f t="shared" si="17"/>
        <v>0</v>
      </c>
      <c r="M43" s="16"/>
      <c r="N43" s="16"/>
      <c r="O43" s="16"/>
      <c r="P43" s="16"/>
      <c r="Q43" s="16"/>
      <c r="R43" s="16"/>
      <c r="S43" t="s">
        <v>34</v>
      </c>
      <c r="T43" t="s">
        <v>35</v>
      </c>
      <c r="U43" s="5" t="s">
        <v>36</v>
      </c>
      <c r="V43" s="5">
        <v>6917</v>
      </c>
      <c r="W43" s="5">
        <f t="shared" si="19"/>
        <v>6571.15</v>
      </c>
      <c r="X43" s="5">
        <f t="shared" si="19"/>
        <v>6242.5924999999997</v>
      </c>
      <c r="Y43" s="5">
        <f t="shared" si="19"/>
        <v>5930.4628749999993</v>
      </c>
      <c r="Z43" s="5">
        <f t="shared" si="19"/>
        <v>5633.9397312499987</v>
      </c>
    </row>
    <row r="44" spans="1:26" x14ac:dyDescent="0.35">
      <c r="A44" t="s">
        <v>49</v>
      </c>
      <c r="B44" t="s">
        <v>50</v>
      </c>
      <c r="C44" s="1">
        <v>2030</v>
      </c>
      <c r="D44" t="s">
        <v>51</v>
      </c>
      <c r="E44" s="16">
        <f t="shared" si="5"/>
        <v>59825051.932236955</v>
      </c>
      <c r="F44" s="18">
        <v>29310.344929541054</v>
      </c>
      <c r="G44" s="16">
        <v>2041.0900000000001</v>
      </c>
      <c r="H44" s="17">
        <v>0.28999999999999998</v>
      </c>
      <c r="I44" s="16"/>
      <c r="J44" s="16">
        <f t="shared" si="7"/>
        <v>8500.0000295669051</v>
      </c>
      <c r="K44" s="16">
        <f t="shared" si="14"/>
        <v>8500.0000295669051</v>
      </c>
      <c r="L44" s="16"/>
      <c r="R44" s="16"/>
      <c r="S44" t="s">
        <v>37</v>
      </c>
      <c r="T44" t="s">
        <v>38</v>
      </c>
      <c r="U44" s="5" t="s">
        <v>39</v>
      </c>
      <c r="V44" s="5">
        <v>1062</v>
      </c>
      <c r="W44" s="5">
        <f t="shared" si="19"/>
        <v>1008.9</v>
      </c>
      <c r="X44" s="5">
        <f t="shared" si="19"/>
        <v>958.45499999999993</v>
      </c>
      <c r="Y44" s="5">
        <f t="shared" si="19"/>
        <v>910.53224999999986</v>
      </c>
      <c r="Z44" s="5">
        <f t="shared" si="19"/>
        <v>865.00563749999981</v>
      </c>
    </row>
    <row r="45" spans="1:26" x14ac:dyDescent="0.35">
      <c r="A45" t="s">
        <v>52</v>
      </c>
      <c r="B45" t="s">
        <v>53</v>
      </c>
      <c r="C45" s="1">
        <v>2030</v>
      </c>
      <c r="D45" t="s">
        <v>54</v>
      </c>
      <c r="E45" s="16">
        <f t="shared" si="5"/>
        <v>-5.4788785539688911E-9</v>
      </c>
      <c r="F45" s="18">
        <v>-1.2373257800291082E-12</v>
      </c>
      <c r="G45" s="16">
        <v>4428</v>
      </c>
      <c r="H45" s="17">
        <v>0.28999999999999998</v>
      </c>
      <c r="I45" s="16"/>
      <c r="J45" s="16">
        <f t="shared" si="7"/>
        <v>-3.5882447620844134E-13</v>
      </c>
      <c r="K45" s="16">
        <f t="shared" si="14"/>
        <v>-3.5882447620844134E-13</v>
      </c>
      <c r="L45" s="16"/>
      <c r="R45" s="16"/>
      <c r="S45" t="s">
        <v>40</v>
      </c>
      <c r="T45" t="s">
        <v>41</v>
      </c>
      <c r="U45" s="5" t="s">
        <v>42</v>
      </c>
      <c r="V45" s="5">
        <v>11378.17</v>
      </c>
      <c r="W45" s="5">
        <f t="shared" si="19"/>
        <v>10809.261499999999</v>
      </c>
      <c r="X45" s="5">
        <f t="shared" si="19"/>
        <v>10268.798424999999</v>
      </c>
      <c r="Y45" s="5">
        <f t="shared" si="19"/>
        <v>9755.3585037499979</v>
      </c>
      <c r="Z45" s="5">
        <f t="shared" si="19"/>
        <v>9267.5905785624982</v>
      </c>
    </row>
    <row r="46" spans="1:26" x14ac:dyDescent="0.35">
      <c r="A46" t="s">
        <v>17</v>
      </c>
      <c r="B46" t="s">
        <v>18</v>
      </c>
      <c r="C46" s="1">
        <v>2040</v>
      </c>
      <c r="D46" t="s">
        <v>19</v>
      </c>
      <c r="E46" s="16">
        <f t="shared" si="5"/>
        <v>22982987.312974047</v>
      </c>
      <c r="F46" s="18">
        <v>10521.251592249997</v>
      </c>
      <c r="G46" s="16">
        <v>2184.43472351744</v>
      </c>
      <c r="H46" s="17">
        <v>0.23099999999999998</v>
      </c>
      <c r="I46" s="16"/>
      <c r="J46" s="16"/>
      <c r="K46" s="16">
        <f t="shared" si="14"/>
        <v>2430.4091178097492</v>
      </c>
      <c r="L46" s="16">
        <f t="shared" ref="L46:L71" si="20">H46*F46</f>
        <v>2430.4091178097492</v>
      </c>
      <c r="M46" s="16">
        <v>330.52250880000003</v>
      </c>
      <c r="N46" s="16"/>
      <c r="O46" s="16"/>
      <c r="P46" s="16">
        <f>M46*F46</f>
        <v>3477510.4719864638</v>
      </c>
      <c r="Q46" s="16">
        <f>M46*F46</f>
        <v>3477510.4719864638</v>
      </c>
      <c r="R46" s="16"/>
      <c r="S46" t="s">
        <v>43</v>
      </c>
      <c r="T46" t="s">
        <v>44</v>
      </c>
      <c r="U46" s="5" t="s">
        <v>45</v>
      </c>
      <c r="V46" s="5">
        <v>0</v>
      </c>
      <c r="W46" s="5">
        <f t="shared" si="19"/>
        <v>0</v>
      </c>
      <c r="X46" s="5">
        <f t="shared" si="19"/>
        <v>0</v>
      </c>
      <c r="Y46" s="5">
        <f t="shared" si="19"/>
        <v>0</v>
      </c>
      <c r="Z46" s="5">
        <f t="shared" si="19"/>
        <v>0</v>
      </c>
    </row>
    <row r="47" spans="1:26" x14ac:dyDescent="0.35">
      <c r="A47" t="s">
        <v>20</v>
      </c>
      <c r="B47" t="s">
        <v>21</v>
      </c>
      <c r="C47" s="1">
        <v>2040</v>
      </c>
      <c r="D47" t="s">
        <v>22</v>
      </c>
      <c r="E47" s="16">
        <f t="shared" si="5"/>
        <v>-4.115153956216081E-3</v>
      </c>
      <c r="F47" s="18">
        <v>-9.9999999999496519E-7</v>
      </c>
      <c r="G47" s="16">
        <v>4115.1539562367998</v>
      </c>
      <c r="H47" s="17">
        <v>0.36549999999999999</v>
      </c>
      <c r="I47" s="16"/>
      <c r="J47" s="16"/>
      <c r="K47" s="16">
        <f t="shared" si="14"/>
        <v>-3.6549999999815975E-7</v>
      </c>
      <c r="L47" s="16">
        <f t="shared" si="20"/>
        <v>-3.6549999999815975E-7</v>
      </c>
      <c r="M47" s="16">
        <v>402.68658988799996</v>
      </c>
      <c r="N47" s="16"/>
      <c r="O47" s="16"/>
      <c r="P47" s="16">
        <f t="shared" ref="P47:P50" si="21">M47*F47</f>
        <v>-4.0268658988597251E-4</v>
      </c>
      <c r="Q47" s="16">
        <f t="shared" ref="Q47:Q50" si="22">M47*F47</f>
        <v>-4.0268658988597251E-4</v>
      </c>
      <c r="R47" s="16"/>
      <c r="S47" t="s">
        <v>46</v>
      </c>
      <c r="T47" t="s">
        <v>47</v>
      </c>
      <c r="U47" s="5" t="s">
        <v>48</v>
      </c>
      <c r="V47" s="5">
        <v>1990</v>
      </c>
      <c r="W47" s="5">
        <f t="shared" si="19"/>
        <v>1890.5</v>
      </c>
      <c r="X47" s="5">
        <f t="shared" si="19"/>
        <v>1795.9749999999999</v>
      </c>
      <c r="Y47" s="5">
        <f t="shared" si="19"/>
        <v>1706.1762499999998</v>
      </c>
      <c r="Z47" s="5">
        <f t="shared" si="19"/>
        <v>1620.8674374999996</v>
      </c>
    </row>
    <row r="48" spans="1:26" x14ac:dyDescent="0.35">
      <c r="A48" t="s">
        <v>23</v>
      </c>
      <c r="B48" t="s">
        <v>24</v>
      </c>
      <c r="C48" s="1">
        <v>2040</v>
      </c>
      <c r="D48" t="s">
        <v>25</v>
      </c>
      <c r="E48" s="16">
        <f t="shared" si="5"/>
        <v>22500154.869918123</v>
      </c>
      <c r="F48" s="18">
        <v>11491.533792200931</v>
      </c>
      <c r="G48" s="16">
        <v>1957.9766527935999</v>
      </c>
      <c r="H48" s="17">
        <v>0.29749999999999999</v>
      </c>
      <c r="I48" s="16"/>
      <c r="J48" s="16"/>
      <c r="K48" s="16">
        <f t="shared" si="14"/>
        <v>3418.7313031797767</v>
      </c>
      <c r="L48" s="16">
        <f t="shared" si="20"/>
        <v>3418.7313031797767</v>
      </c>
      <c r="M48" s="16">
        <v>312.16014719999998</v>
      </c>
      <c r="N48" s="16"/>
      <c r="O48" s="16"/>
      <c r="P48" s="16">
        <f t="shared" si="21"/>
        <v>3587198.8801272167</v>
      </c>
      <c r="Q48" s="16">
        <f t="shared" si="22"/>
        <v>3587198.8801272167</v>
      </c>
      <c r="R48" s="16"/>
      <c r="S48" t="s">
        <v>49</v>
      </c>
      <c r="T48" t="s">
        <v>50</v>
      </c>
      <c r="U48" s="5" t="s">
        <v>51</v>
      </c>
      <c r="V48">
        <v>6</v>
      </c>
      <c r="W48" s="5">
        <f t="shared" si="19"/>
        <v>5.6999999999999993</v>
      </c>
      <c r="X48" s="5">
        <f t="shared" si="19"/>
        <v>5.4149999999999991</v>
      </c>
      <c r="Y48" s="5">
        <f t="shared" si="19"/>
        <v>5.1442499999999987</v>
      </c>
      <c r="Z48" s="5">
        <f t="shared" si="19"/>
        <v>4.8870374999999981</v>
      </c>
    </row>
    <row r="49" spans="1:26" x14ac:dyDescent="0.35">
      <c r="A49" t="s">
        <v>26</v>
      </c>
      <c r="B49" t="s">
        <v>27</v>
      </c>
      <c r="C49" s="1">
        <v>2040</v>
      </c>
      <c r="D49" t="s">
        <v>28</v>
      </c>
      <c r="E49" s="16">
        <f t="shared" si="5"/>
        <v>-2.2475861081830025E-10</v>
      </c>
      <c r="F49" s="18">
        <v>-1.1916350302980145E-13</v>
      </c>
      <c r="G49" s="16">
        <v>1886.1363177792</v>
      </c>
      <c r="H49" s="17">
        <v>0.48449999999999993</v>
      </c>
      <c r="I49" s="16"/>
      <c r="J49" s="16"/>
      <c r="K49" s="16">
        <f t="shared" si="14"/>
        <v>-5.7734717217938792E-14</v>
      </c>
      <c r="L49" s="16">
        <f t="shared" si="20"/>
        <v>-5.7734717217938792E-14</v>
      </c>
      <c r="M49" s="16">
        <v>238.802512608</v>
      </c>
      <c r="N49" s="16"/>
      <c r="O49" s="16"/>
      <c r="P49" s="16">
        <f t="shared" si="21"/>
        <v>-2.8456543934687605E-11</v>
      </c>
      <c r="Q49" s="16">
        <f t="shared" si="22"/>
        <v>-2.8456543934687605E-11</v>
      </c>
      <c r="R49" s="16"/>
      <c r="S49" t="s">
        <v>52</v>
      </c>
      <c r="T49" t="s">
        <v>53</v>
      </c>
      <c r="U49" s="5" t="s">
        <v>54</v>
      </c>
      <c r="V49" s="5">
        <v>7.2</v>
      </c>
      <c r="W49" s="5">
        <f t="shared" si="19"/>
        <v>6.84</v>
      </c>
      <c r="X49" s="5">
        <f t="shared" si="19"/>
        <v>6.4979999999999993</v>
      </c>
      <c r="Y49" s="5">
        <f t="shared" si="19"/>
        <v>6.1730999999999989</v>
      </c>
      <c r="Z49" s="5">
        <f t="shared" si="19"/>
        <v>5.864444999999999</v>
      </c>
    </row>
    <row r="50" spans="1:26" x14ac:dyDescent="0.35">
      <c r="A50" t="s">
        <v>29</v>
      </c>
      <c r="B50" t="s">
        <v>24</v>
      </c>
      <c r="C50" s="1">
        <v>2040</v>
      </c>
      <c r="D50" t="s">
        <v>30</v>
      </c>
      <c r="E50" s="16">
        <f t="shared" si="5"/>
        <v>0</v>
      </c>
      <c r="F50" s="18">
        <v>0</v>
      </c>
      <c r="G50" s="16">
        <v>909.1363177792</v>
      </c>
      <c r="H50" s="17">
        <v>0.32300000000000001</v>
      </c>
      <c r="I50" s="16"/>
      <c r="J50" s="16"/>
      <c r="K50" s="16">
        <f t="shared" si="14"/>
        <v>0</v>
      </c>
      <c r="L50" s="16">
        <f t="shared" si="20"/>
        <v>0</v>
      </c>
      <c r="M50" s="16">
        <v>238.802512608</v>
      </c>
      <c r="N50" s="16"/>
      <c r="O50" s="16"/>
      <c r="P50" s="16">
        <f t="shared" si="21"/>
        <v>0</v>
      </c>
      <c r="Q50" s="16">
        <f t="shared" si="22"/>
        <v>0</v>
      </c>
      <c r="R50" s="16"/>
      <c r="S50" s="16"/>
    </row>
    <row r="51" spans="1:26" x14ac:dyDescent="0.35">
      <c r="A51" t="s">
        <v>31</v>
      </c>
      <c r="B51" t="s">
        <v>32</v>
      </c>
      <c r="C51" s="1">
        <v>2040</v>
      </c>
      <c r="D51" t="s">
        <v>33</v>
      </c>
      <c r="E51" s="16">
        <f t="shared" si="5"/>
        <v>0</v>
      </c>
      <c r="F51" s="18">
        <v>0</v>
      </c>
      <c r="G51" s="16">
        <v>6465.8</v>
      </c>
      <c r="H51" s="17">
        <v>0.62</v>
      </c>
      <c r="I51" s="16"/>
      <c r="J51" s="16"/>
      <c r="K51" s="16">
        <f t="shared" si="14"/>
        <v>0</v>
      </c>
      <c r="L51" s="16">
        <f t="shared" si="20"/>
        <v>0</v>
      </c>
      <c r="M51" s="16"/>
      <c r="N51" s="16"/>
      <c r="O51" s="16"/>
      <c r="P51" s="16"/>
      <c r="Q51" s="16"/>
      <c r="R51" s="16"/>
      <c r="S51" s="16"/>
    </row>
    <row r="52" spans="1:26" x14ac:dyDescent="0.35">
      <c r="A52" t="s">
        <v>34</v>
      </c>
      <c r="B52" t="s">
        <v>35</v>
      </c>
      <c r="C52" s="1">
        <v>2040</v>
      </c>
      <c r="D52" t="s">
        <v>36</v>
      </c>
      <c r="E52" s="16">
        <f t="shared" si="5"/>
        <v>0</v>
      </c>
      <c r="F52" s="18">
        <v>0</v>
      </c>
      <c r="G52" s="16">
        <v>6026.8</v>
      </c>
      <c r="H52" s="17">
        <v>0.62</v>
      </c>
      <c r="I52" s="16"/>
      <c r="J52" s="16"/>
      <c r="K52" s="16">
        <f t="shared" si="14"/>
        <v>0</v>
      </c>
      <c r="L52" s="16">
        <f t="shared" si="20"/>
        <v>0</v>
      </c>
      <c r="M52" s="16"/>
      <c r="N52" s="16"/>
      <c r="O52" s="16"/>
      <c r="P52" s="16"/>
      <c r="Q52" s="16"/>
      <c r="R52" s="16"/>
      <c r="S52" s="16"/>
    </row>
    <row r="53" spans="1:26" x14ac:dyDescent="0.35">
      <c r="A53" t="s">
        <v>37</v>
      </c>
      <c r="B53" t="s">
        <v>38</v>
      </c>
      <c r="C53" s="1">
        <v>2040</v>
      </c>
      <c r="D53" t="s">
        <v>39</v>
      </c>
      <c r="E53" s="16">
        <f t="shared" si="5"/>
        <v>0</v>
      </c>
      <c r="F53" s="18">
        <v>0</v>
      </c>
      <c r="G53" s="16">
        <v>7025.8</v>
      </c>
      <c r="H53" s="17">
        <v>0.62</v>
      </c>
      <c r="I53" s="16"/>
      <c r="J53" s="16"/>
      <c r="K53" s="16">
        <f t="shared" si="14"/>
        <v>0</v>
      </c>
      <c r="L53" s="16">
        <f t="shared" si="20"/>
        <v>0</v>
      </c>
      <c r="M53" s="16"/>
      <c r="N53" s="16"/>
      <c r="O53" s="16"/>
      <c r="P53" s="16"/>
      <c r="Q53" s="16"/>
      <c r="R53" s="16"/>
      <c r="S53" s="16"/>
    </row>
    <row r="54" spans="1:26" x14ac:dyDescent="0.35">
      <c r="A54" t="s">
        <v>40</v>
      </c>
      <c r="B54" t="s">
        <v>41</v>
      </c>
      <c r="C54" s="1">
        <v>2040</v>
      </c>
      <c r="D54" t="s">
        <v>42</v>
      </c>
      <c r="E54" s="16">
        <f t="shared" si="5"/>
        <v>-6.4600371754511519E-12</v>
      </c>
      <c r="F54" s="18">
        <v>-1.2833372089068555E-15</v>
      </c>
      <c r="G54" s="16">
        <v>5033.7800000000007</v>
      </c>
      <c r="H54" s="17">
        <v>0.33</v>
      </c>
      <c r="I54" s="16"/>
      <c r="J54" s="16"/>
      <c r="K54" s="16">
        <f t="shared" si="14"/>
        <v>-4.2350127893926232E-16</v>
      </c>
      <c r="L54" s="16">
        <f t="shared" si="20"/>
        <v>-4.2350127893926232E-16</v>
      </c>
      <c r="M54" s="16"/>
      <c r="N54" s="16"/>
      <c r="O54" s="16"/>
      <c r="P54" s="16"/>
      <c r="Q54" s="16"/>
      <c r="R54" s="16"/>
      <c r="S54" s="16"/>
    </row>
    <row r="55" spans="1:26" x14ac:dyDescent="0.35">
      <c r="A55" t="s">
        <v>43</v>
      </c>
      <c r="B55" t="s">
        <v>44</v>
      </c>
      <c r="C55" s="1">
        <v>2040</v>
      </c>
      <c r="D55" t="s">
        <v>45</v>
      </c>
      <c r="E55" s="16">
        <f t="shared" si="5"/>
        <v>0</v>
      </c>
      <c r="F55" s="18">
        <v>0</v>
      </c>
      <c r="G55" s="16">
        <v>7103.3600000000006</v>
      </c>
      <c r="H55" s="17">
        <v>0.24</v>
      </c>
      <c r="I55" s="16"/>
      <c r="J55" s="16"/>
      <c r="K55" s="16">
        <f t="shared" si="14"/>
        <v>0</v>
      </c>
      <c r="L55" s="16">
        <f t="shared" si="20"/>
        <v>0</v>
      </c>
      <c r="M55" s="16"/>
      <c r="N55" s="16"/>
      <c r="O55" s="16"/>
      <c r="P55" s="16"/>
      <c r="Q55" s="16"/>
      <c r="R55" s="16"/>
      <c r="S55" s="16"/>
    </row>
    <row r="56" spans="1:26" x14ac:dyDescent="0.35">
      <c r="A56" t="s">
        <v>46</v>
      </c>
      <c r="B56" t="s">
        <v>47</v>
      </c>
      <c r="C56" s="1">
        <v>2040</v>
      </c>
      <c r="D56" t="s">
        <v>48</v>
      </c>
      <c r="E56" s="16">
        <f t="shared" si="5"/>
        <v>0</v>
      </c>
      <c r="F56" s="18">
        <v>0</v>
      </c>
      <c r="G56" s="16">
        <v>13899.599999999999</v>
      </c>
      <c r="H56" s="17">
        <v>0.29749999999999999</v>
      </c>
      <c r="I56" s="16"/>
      <c r="J56" s="16"/>
      <c r="K56" s="16">
        <f t="shared" si="14"/>
        <v>0</v>
      </c>
      <c r="L56" s="16">
        <f t="shared" si="20"/>
        <v>0</v>
      </c>
      <c r="M56" s="16"/>
      <c r="N56" s="16"/>
      <c r="O56" s="16"/>
      <c r="P56" s="16"/>
      <c r="Q56" s="16"/>
      <c r="R56" s="16"/>
      <c r="S56" s="16"/>
    </row>
    <row r="57" spans="1:26" x14ac:dyDescent="0.35">
      <c r="A57" t="s">
        <v>49</v>
      </c>
      <c r="B57" t="s">
        <v>50</v>
      </c>
      <c r="C57" s="1">
        <v>2040</v>
      </c>
      <c r="D57" t="s">
        <v>51</v>
      </c>
      <c r="E57" s="16">
        <f t="shared" si="5"/>
        <v>100064736.6738787</v>
      </c>
      <c r="F57" s="18">
        <v>54813.173313327803</v>
      </c>
      <c r="G57" s="16">
        <v>1825.56</v>
      </c>
      <c r="H57" s="17">
        <v>0.28999999999999998</v>
      </c>
      <c r="I57" s="16"/>
      <c r="J57" s="16"/>
      <c r="K57" s="16">
        <f t="shared" si="14"/>
        <v>15895.820260865063</v>
      </c>
      <c r="L57" s="16">
        <f t="shared" si="20"/>
        <v>15895.820260865063</v>
      </c>
      <c r="R57" s="16"/>
      <c r="S57" s="16"/>
    </row>
    <row r="58" spans="1:26" x14ac:dyDescent="0.35">
      <c r="A58" t="s">
        <v>52</v>
      </c>
      <c r="B58" t="s">
        <v>53</v>
      </c>
      <c r="C58" s="1">
        <v>2040</v>
      </c>
      <c r="D58" t="s">
        <v>54</v>
      </c>
      <c r="E58" s="16">
        <f t="shared" si="5"/>
        <v>239129987.69409481</v>
      </c>
      <c r="F58" s="18">
        <v>62615.864805994977</v>
      </c>
      <c r="G58" s="16">
        <v>3819</v>
      </c>
      <c r="H58" s="17">
        <v>0.28999999999999998</v>
      </c>
      <c r="I58" s="16"/>
      <c r="J58" s="16"/>
      <c r="K58" s="16">
        <f t="shared" si="14"/>
        <v>18158.600793738544</v>
      </c>
      <c r="L58" s="16">
        <f t="shared" si="20"/>
        <v>18158.600793738544</v>
      </c>
      <c r="R58" s="16"/>
      <c r="S58" s="16"/>
    </row>
    <row r="59" spans="1:26" x14ac:dyDescent="0.35">
      <c r="A59" t="s">
        <v>17</v>
      </c>
      <c r="B59" t="s">
        <v>18</v>
      </c>
      <c r="C59" s="1">
        <v>2050</v>
      </c>
      <c r="D59" t="s">
        <v>19</v>
      </c>
      <c r="E59" s="16">
        <f t="shared" si="5"/>
        <v>1.4241678213827133E-10</v>
      </c>
      <c r="F59" s="18">
        <v>6.519617208288454E-14</v>
      </c>
      <c r="G59" s="16">
        <v>2184.43472351744</v>
      </c>
      <c r="H59" s="17">
        <v>0.23099999999999998</v>
      </c>
      <c r="I59" s="16"/>
      <c r="J59" s="16"/>
      <c r="K59" s="16"/>
      <c r="L59" s="16">
        <f t="shared" si="20"/>
        <v>1.5060315751146328E-14</v>
      </c>
      <c r="M59" s="16">
        <v>330.52250880000003</v>
      </c>
      <c r="N59" s="16"/>
      <c r="O59" s="16"/>
      <c r="P59" s="16"/>
      <c r="Q59" s="16">
        <f>M59*F59</f>
        <v>2.1548802360991522E-11</v>
      </c>
      <c r="R59" s="16"/>
      <c r="S59" s="16"/>
    </row>
    <row r="60" spans="1:26" x14ac:dyDescent="0.35">
      <c r="A60" t="s">
        <v>20</v>
      </c>
      <c r="B60" t="s">
        <v>21</v>
      </c>
      <c r="C60" s="1">
        <v>2050</v>
      </c>
      <c r="D60" t="s">
        <v>22</v>
      </c>
      <c r="E60" s="16">
        <f t="shared" si="5"/>
        <v>0</v>
      </c>
      <c r="F60" s="18">
        <v>0</v>
      </c>
      <c r="G60" s="16">
        <v>4115.8563165679998</v>
      </c>
      <c r="H60" s="17">
        <v>0.36549999999999999</v>
      </c>
      <c r="I60" s="16"/>
      <c r="J60" s="16"/>
      <c r="K60" s="16"/>
      <c r="L60" s="16">
        <f t="shared" si="20"/>
        <v>0</v>
      </c>
      <c r="M60" s="16">
        <v>402.68658988799996</v>
      </c>
      <c r="N60" s="16"/>
      <c r="O60" s="16"/>
      <c r="P60" s="16"/>
      <c r="Q60" s="16">
        <f t="shared" ref="Q60:Q63" si="23">M60*F60</f>
        <v>0</v>
      </c>
      <c r="R60" s="16"/>
      <c r="S60" s="16"/>
    </row>
    <row r="61" spans="1:26" x14ac:dyDescent="0.35">
      <c r="A61" t="s">
        <v>23</v>
      </c>
      <c r="B61" t="s">
        <v>24</v>
      </c>
      <c r="C61" s="1">
        <v>2050</v>
      </c>
      <c r="D61" t="s">
        <v>25</v>
      </c>
      <c r="E61" s="16">
        <f t="shared" si="5"/>
        <v>0</v>
      </c>
      <c r="F61" s="18">
        <v>0</v>
      </c>
      <c r="G61" s="16">
        <v>1968.6610432863999</v>
      </c>
      <c r="H61" s="17">
        <v>0.29749999999999999</v>
      </c>
      <c r="I61" s="16"/>
      <c r="J61" s="16"/>
      <c r="K61" s="16"/>
      <c r="L61" s="16">
        <f t="shared" si="20"/>
        <v>0</v>
      </c>
      <c r="M61" s="16">
        <v>312.16014719999998</v>
      </c>
      <c r="N61" s="16"/>
      <c r="O61" s="16"/>
      <c r="P61" s="16"/>
      <c r="Q61" s="16">
        <f t="shared" si="23"/>
        <v>0</v>
      </c>
      <c r="R61" s="16"/>
    </row>
    <row r="62" spans="1:26" x14ac:dyDescent="0.35">
      <c r="A62" t="s">
        <v>26</v>
      </c>
      <c r="B62" t="s">
        <v>27</v>
      </c>
      <c r="C62" s="1">
        <v>2050</v>
      </c>
      <c r="D62" t="s">
        <v>28</v>
      </c>
      <c r="E62" s="16">
        <f t="shared" si="5"/>
        <v>27260335.322076432</v>
      </c>
      <c r="F62" s="18">
        <v>14397.440944059563</v>
      </c>
      <c r="G62" s="16">
        <v>1893.415324848</v>
      </c>
      <c r="H62" s="17">
        <v>0.48449999999999993</v>
      </c>
      <c r="I62" s="16"/>
      <c r="J62" s="16"/>
      <c r="K62" s="16"/>
      <c r="L62" s="16">
        <f t="shared" si="20"/>
        <v>6975.5601373968575</v>
      </c>
      <c r="M62" s="16">
        <v>238.802512608</v>
      </c>
      <c r="N62" s="16"/>
      <c r="O62" s="16"/>
      <c r="P62" s="16"/>
      <c r="Q62" s="16">
        <f t="shared" si="23"/>
        <v>3438145.0725667193</v>
      </c>
    </row>
    <row r="63" spans="1:26" x14ac:dyDescent="0.35">
      <c r="A63" t="s">
        <v>29</v>
      </c>
      <c r="B63" t="s">
        <v>24</v>
      </c>
      <c r="C63" s="1">
        <v>2050</v>
      </c>
      <c r="D63" t="s">
        <v>30</v>
      </c>
      <c r="E63" s="16">
        <f t="shared" si="5"/>
        <v>536053.30311500339</v>
      </c>
      <c r="F63" s="18">
        <v>584.94580849999988</v>
      </c>
      <c r="G63" s="16">
        <v>916.41532484799995</v>
      </c>
      <c r="H63" s="17">
        <v>0.32300000000000001</v>
      </c>
      <c r="I63" s="16"/>
      <c r="J63" s="16"/>
      <c r="K63" s="16"/>
      <c r="L63" s="16">
        <f t="shared" si="20"/>
        <v>188.93749614549998</v>
      </c>
      <c r="M63" s="16">
        <v>238.802512608</v>
      </c>
      <c r="N63" s="16"/>
      <c r="O63" s="16"/>
      <c r="P63" s="16"/>
      <c r="Q63" s="16">
        <f t="shared" si="23"/>
        <v>139686.52880931797</v>
      </c>
    </row>
    <row r="64" spans="1:26" x14ac:dyDescent="0.35">
      <c r="A64" t="s">
        <v>31</v>
      </c>
      <c r="B64" t="s">
        <v>32</v>
      </c>
      <c r="C64" s="1">
        <v>2050</v>
      </c>
      <c r="D64" t="s">
        <v>33</v>
      </c>
      <c r="E64" s="16">
        <f t="shared" si="5"/>
        <v>0</v>
      </c>
      <c r="F64" s="18">
        <v>0</v>
      </c>
      <c r="G64" s="16">
        <v>6465.8</v>
      </c>
      <c r="H64" s="17">
        <v>0.62</v>
      </c>
      <c r="I64" s="16"/>
      <c r="J64" s="16"/>
      <c r="K64" s="16"/>
      <c r="L64" s="16">
        <f t="shared" si="20"/>
        <v>0</v>
      </c>
      <c r="M64" s="16"/>
      <c r="N64" s="16"/>
      <c r="O64" s="16"/>
      <c r="P64" s="16"/>
      <c r="Q64" s="16"/>
    </row>
    <row r="65" spans="1:17" x14ac:dyDescent="0.35">
      <c r="A65" t="s">
        <v>34</v>
      </c>
      <c r="B65" t="s">
        <v>35</v>
      </c>
      <c r="C65" s="1">
        <v>2050</v>
      </c>
      <c r="D65" t="s">
        <v>36</v>
      </c>
      <c r="E65" s="16">
        <f t="shared" si="5"/>
        <v>0</v>
      </c>
      <c r="F65" s="18">
        <v>0</v>
      </c>
      <c r="G65" s="16">
        <v>6026.8</v>
      </c>
      <c r="H65" s="17">
        <v>0.62</v>
      </c>
      <c r="I65" s="16"/>
      <c r="J65" s="16"/>
      <c r="K65" s="16"/>
      <c r="L65" s="16">
        <f t="shared" si="20"/>
        <v>0</v>
      </c>
      <c r="M65" s="16"/>
      <c r="N65" s="16"/>
      <c r="O65" s="16"/>
      <c r="P65" s="16"/>
      <c r="Q65" s="16"/>
    </row>
    <row r="66" spans="1:17" x14ac:dyDescent="0.35">
      <c r="A66" t="s">
        <v>37</v>
      </c>
      <c r="B66" t="s">
        <v>38</v>
      </c>
      <c r="C66" s="1">
        <v>2050</v>
      </c>
      <c r="D66" t="s">
        <v>39</v>
      </c>
      <c r="E66" s="16">
        <f t="shared" si="5"/>
        <v>0</v>
      </c>
      <c r="F66" s="18">
        <v>0</v>
      </c>
      <c r="G66" s="16">
        <v>7025.8</v>
      </c>
      <c r="H66" s="17">
        <v>0.62</v>
      </c>
      <c r="I66" s="16"/>
      <c r="J66" s="16"/>
      <c r="K66" s="16"/>
      <c r="L66" s="16">
        <f t="shared" si="20"/>
        <v>0</v>
      </c>
      <c r="M66" s="16"/>
      <c r="N66" s="16"/>
      <c r="O66" s="16"/>
      <c r="P66" s="16"/>
      <c r="Q66" s="16"/>
    </row>
    <row r="67" spans="1:17" x14ac:dyDescent="0.35">
      <c r="A67" t="s">
        <v>40</v>
      </c>
      <c r="B67" t="s">
        <v>41</v>
      </c>
      <c r="C67" s="1">
        <v>2050</v>
      </c>
      <c r="D67" t="s">
        <v>42</v>
      </c>
      <c r="E67" s="16">
        <f t="shared" si="5"/>
        <v>45952699.152461648</v>
      </c>
      <c r="F67" s="18">
        <v>9267.5905785624982</v>
      </c>
      <c r="G67" s="16">
        <v>4958.43</v>
      </c>
      <c r="H67" s="17">
        <v>0.33</v>
      </c>
      <c r="I67" s="16"/>
      <c r="J67" s="16"/>
      <c r="K67" s="16"/>
      <c r="L67" s="16">
        <f t="shared" si="20"/>
        <v>3058.3048909256245</v>
      </c>
      <c r="M67" s="16"/>
      <c r="N67" s="16"/>
      <c r="O67" s="16"/>
      <c r="P67" s="16"/>
      <c r="Q67" s="16"/>
    </row>
    <row r="68" spans="1:17" x14ac:dyDescent="0.35">
      <c r="A68" t="s">
        <v>43</v>
      </c>
      <c r="B68" t="s">
        <v>44</v>
      </c>
      <c r="C68" s="1">
        <v>2050</v>
      </c>
      <c r="D68" t="s">
        <v>45</v>
      </c>
      <c r="E68" s="16">
        <f t="shared" si="5"/>
        <v>0</v>
      </c>
      <c r="F68" s="18">
        <v>0</v>
      </c>
      <c r="G68" s="16">
        <v>6751.73</v>
      </c>
      <c r="H68" s="17">
        <v>0.24</v>
      </c>
      <c r="I68" s="16"/>
      <c r="J68" s="16"/>
      <c r="K68" s="16"/>
      <c r="L68" s="16">
        <f t="shared" si="20"/>
        <v>0</v>
      </c>
      <c r="M68" s="16"/>
      <c r="N68" s="16"/>
      <c r="O68" s="16"/>
      <c r="P68" s="16"/>
      <c r="Q68" s="16"/>
    </row>
    <row r="69" spans="1:17" x14ac:dyDescent="0.35">
      <c r="A69" t="s">
        <v>46</v>
      </c>
      <c r="B69" t="s">
        <v>47</v>
      </c>
      <c r="C69" s="1">
        <v>2050</v>
      </c>
      <c r="D69" t="s">
        <v>48</v>
      </c>
      <c r="E69" s="16">
        <f t="shared" si="5"/>
        <v>0</v>
      </c>
      <c r="F69" s="18">
        <v>0</v>
      </c>
      <c r="G69" s="16">
        <v>13899.599999999999</v>
      </c>
      <c r="H69" s="17">
        <v>0.29749999999999999</v>
      </c>
      <c r="I69" s="16"/>
      <c r="J69" s="16"/>
      <c r="K69" s="16"/>
      <c r="L69" s="16">
        <f t="shared" si="20"/>
        <v>0</v>
      </c>
      <c r="M69" s="16"/>
      <c r="N69" s="16"/>
      <c r="O69" s="16"/>
      <c r="P69" s="16"/>
      <c r="Q69" s="16"/>
    </row>
    <row r="70" spans="1:17" x14ac:dyDescent="0.35">
      <c r="A70" t="s">
        <v>49</v>
      </c>
      <c r="B70" t="s">
        <v>50</v>
      </c>
      <c r="C70" s="1">
        <v>2050</v>
      </c>
      <c r="D70" t="s">
        <v>51</v>
      </c>
      <c r="E70" s="16">
        <f t="shared" si="5"/>
        <v>106620962.42445391</v>
      </c>
      <c r="F70" s="18">
        <v>66222.9662953199</v>
      </c>
      <c r="G70" s="16">
        <v>1610.0300000000002</v>
      </c>
      <c r="H70" s="17">
        <v>0.28999999999999998</v>
      </c>
      <c r="I70" s="16"/>
      <c r="J70" s="16"/>
      <c r="K70" s="16"/>
      <c r="L70" s="16">
        <f t="shared" si="20"/>
        <v>19204.660225642769</v>
      </c>
    </row>
    <row r="71" spans="1:17" x14ac:dyDescent="0.35">
      <c r="A71" t="s">
        <v>52</v>
      </c>
      <c r="B71" t="s">
        <v>53</v>
      </c>
      <c r="C71" s="1">
        <v>2050</v>
      </c>
      <c r="D71" t="s">
        <v>54</v>
      </c>
      <c r="E71" s="16">
        <f t="shared" si="5"/>
        <v>105324689.20666622</v>
      </c>
      <c r="F71" s="18">
        <v>27579.12783625719</v>
      </c>
      <c r="G71" s="16">
        <v>3819</v>
      </c>
      <c r="H71" s="17">
        <v>0.28999999999999998</v>
      </c>
      <c r="I71" s="16"/>
      <c r="J71" s="16"/>
      <c r="K71" s="16"/>
      <c r="L71" s="16">
        <f t="shared" si="20"/>
        <v>7997.9470725145848</v>
      </c>
    </row>
  </sheetData>
  <mergeCells count="2">
    <mergeCell ref="H5:H6"/>
    <mergeCell ref="M5:M6"/>
  </mergeCells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backtoone">
                <anchor moveWithCells="1" sizeWithCells="1">
                  <from>
                    <xdr:col>1</xdr:col>
                    <xdr:colOff>469900</xdr:colOff>
                    <xdr:row>1</xdr:row>
                    <xdr:rowOff>12700</xdr:rowOff>
                  </from>
                  <to>
                    <xdr:col>3</xdr:col>
                    <xdr:colOff>228600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Song, Jerry</cp:lastModifiedBy>
  <dcterms:created xsi:type="dcterms:W3CDTF">2024-03-07T16:57:56Z</dcterms:created>
  <dcterms:modified xsi:type="dcterms:W3CDTF">2024-03-09T10:46:24Z</dcterms:modified>
</cp:coreProperties>
</file>