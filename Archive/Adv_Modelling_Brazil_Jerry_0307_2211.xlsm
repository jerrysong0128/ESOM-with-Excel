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liveuclac-my.sharepoint.com/personal/ucbvonc_ucl_ac_uk/Documents/014_Adv_Modelling/Assessment/Excel_ESOM/"/>
    </mc:Choice>
  </mc:AlternateContent>
  <xr:revisionPtr revIDLastSave="10028" documentId="13_ncr:1_{C05513FE-6B8E-3C49-8915-BDE2CD0CE841}" xr6:coauthVersionLast="47" xr6:coauthVersionMax="47" xr10:uidLastSave="{667CB9A9-47CF-4713-97C1-72D55161B7E2}"/>
  <bookViews>
    <workbookView xWindow="-120" yWindow="-17865" windowWidth="31785" windowHeight="17265" activeTab="1" xr2:uid="{2536DEB5-9627-3247-B11F-54B386230DDC}"/>
  </bookViews>
  <sheets>
    <sheet name="Scenario_Control" sheetId="3" r:id="rId1"/>
    <sheet name="BAU" sheetId="1" r:id="rId2"/>
    <sheet name="CaC" sheetId="5" r:id="rId3"/>
    <sheet name="Data_Collection" sheetId="2" r:id="rId4"/>
    <sheet name="Demand&amp;Emission" sheetId="4" r:id="rId5"/>
  </sheets>
  <definedNames>
    <definedName name="solver_adj" localSheetId="1" hidden="1">BAU!$G$20:$G$71</definedName>
    <definedName name="solver_adj" localSheetId="2" hidden="1">CaC!$G$20:$G$71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itr" localSheetId="1" hidden="1">2147483647</definedName>
    <definedName name="solver_itr" localSheetId="2" hidden="1">2147483647</definedName>
    <definedName name="solver_lhs1" localSheetId="1" hidden="1">BAU!$J$1:$M$1</definedName>
    <definedName name="solver_lhs1" localSheetId="2" hidden="1">CaC!$J$1:$M$1</definedName>
    <definedName name="solver_lhs10" localSheetId="1" hidden="1">BAU!$W$7:$AA$19</definedName>
    <definedName name="solver_lhs10" localSheetId="2" hidden="1">CaC!$W$7:$AA$19</definedName>
    <definedName name="solver_lhs2" localSheetId="1" hidden="1">BAU!$O$3:$R$3</definedName>
    <definedName name="solver_lhs2" localSheetId="2" hidden="1">CaC!$O$3:$R$3</definedName>
    <definedName name="solver_lhs3" localSheetId="1" hidden="1">BAU!$W$7:$AA$19</definedName>
    <definedName name="solver_lhs3" localSheetId="2" hidden="1">CaC!$W$7:$AA$19</definedName>
    <definedName name="solver_lhs4" localSheetId="1" hidden="1">BAU!$W$7:$AA$14</definedName>
    <definedName name="solver_lhs4" localSheetId="2" hidden="1">CaC!$W$7:$AA$14</definedName>
    <definedName name="solver_lhs5" localSheetId="1" hidden="1">BAU!$W$18:$AA$19</definedName>
    <definedName name="solver_lhs5" localSheetId="2" hidden="1">CaC!$W$18:$AA$19</definedName>
    <definedName name="solver_lhs6" localSheetId="1" hidden="1">BAU!$W$37:$AA$49</definedName>
    <definedName name="solver_lhs6" localSheetId="2" hidden="1">CaC!$W$37:$AA$49</definedName>
    <definedName name="solver_lhs7" localSheetId="1" hidden="1">BAU!$Q$3</definedName>
    <definedName name="solver_lhs7" localSheetId="2" hidden="1">CaC!$Q$3</definedName>
    <definedName name="solver_lhs8" localSheetId="1" hidden="1">BAU!$R$3</definedName>
    <definedName name="solver_lhs8" localSheetId="2" hidden="1">CaC!$R$3</definedName>
    <definedName name="solver_lhs9" localSheetId="1" hidden="1">BAU!$W$37:$AA$49</definedName>
    <definedName name="solver_lhs9" localSheetId="2" hidden="1">CaC!$W$37:$AA$49</definedName>
    <definedName name="solver_lin" localSheetId="1" hidden="1">2</definedName>
    <definedName name="solver_lin" localSheetId="2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3</definedName>
    <definedName name="solver_num" localSheetId="2" hidden="1">3</definedName>
    <definedName name="solver_nwt" localSheetId="1" hidden="1">1</definedName>
    <definedName name="solver_opt" localSheetId="1" hidden="1">BAU!$F$5</definedName>
    <definedName name="solver_opt" localSheetId="2" hidden="1">CaC!$F$5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1</definedName>
    <definedName name="solver_rel10" localSheetId="1" hidden="1">1</definedName>
    <definedName name="solver_rel10" localSheetId="2" hidden="1">1</definedName>
    <definedName name="solver_rel2" localSheetId="1" hidden="1">1</definedName>
    <definedName name="solver_rel2" localSheetId="2" hidden="1">1</definedName>
    <definedName name="solver_rel3" localSheetId="1" hidden="1">1</definedName>
    <definedName name="solver_rel3" localSheetId="2" hidden="1">1</definedName>
    <definedName name="solver_rel4" localSheetId="1" hidden="1">1</definedName>
    <definedName name="solver_rel4" localSheetId="2" hidden="1">1</definedName>
    <definedName name="solver_rel5" localSheetId="1" hidden="1">1</definedName>
    <definedName name="solver_rel5" localSheetId="2" hidden="1">1</definedName>
    <definedName name="solver_rel6" localSheetId="1" hidden="1">1</definedName>
    <definedName name="solver_rel6" localSheetId="2" hidden="1">1</definedName>
    <definedName name="solver_rel7" localSheetId="1" hidden="1">1</definedName>
    <definedName name="solver_rel7" localSheetId="2" hidden="1">1</definedName>
    <definedName name="solver_rel8" localSheetId="1" hidden="1">1</definedName>
    <definedName name="solver_rel8" localSheetId="2" hidden="1">1</definedName>
    <definedName name="solver_rel9" localSheetId="1" hidden="1">1</definedName>
    <definedName name="solver_rel9" localSheetId="2" hidden="1">1</definedName>
    <definedName name="solver_rhs1" localSheetId="1" hidden="1">BAU!$J$3:$M$3</definedName>
    <definedName name="solver_rhs1" localSheetId="2" hidden="1">CaC!$J$3:$M$3</definedName>
    <definedName name="solver_rhs10" localSheetId="1" hidden="1">BAU!$W$22:$AA$34</definedName>
    <definedName name="solver_rhs10" localSheetId="2" hidden="1">CaC!$W$22:$AA$34</definedName>
    <definedName name="solver_rhs2" localSheetId="1" hidden="1">BAU!$O$1:$R$1</definedName>
    <definedName name="solver_rhs2" localSheetId="2" hidden="1">CaC!$O$1:$R$1</definedName>
    <definedName name="solver_rhs3" localSheetId="1" hidden="1">BAU!$W$22:$AA$34</definedName>
    <definedName name="solver_rhs3" localSheetId="2" hidden="1">CaC!$W$22:$AA$34</definedName>
    <definedName name="solver_rhs4" localSheetId="1" hidden="1">BAU!$W$22:$AA$29</definedName>
    <definedName name="solver_rhs4" localSheetId="2" hidden="1">CaC!$W$22:$AA$29</definedName>
    <definedName name="solver_rhs5" localSheetId="1" hidden="1">BAU!$W$33:$AA$34</definedName>
    <definedName name="solver_rhs5" localSheetId="2" hidden="1">CaC!$W$33:$AA$34</definedName>
    <definedName name="solver_rhs6" localSheetId="1" hidden="1">BAU!$W$7:$AA$19</definedName>
    <definedName name="solver_rhs6" localSheetId="2" hidden="1">CaC!$W$7:$AA$19</definedName>
    <definedName name="solver_rhs7" localSheetId="1" hidden="1">BAU!$Q$1</definedName>
    <definedName name="solver_rhs7" localSheetId="2" hidden="1">CaC!$Q$1</definedName>
    <definedName name="solver_rhs8" localSheetId="1" hidden="1">BAU!$R$1</definedName>
    <definedName name="solver_rhs8" localSheetId="2" hidden="1">CaC!$R$1</definedName>
    <definedName name="solver_rhs9" localSheetId="1" hidden="1">BAU!$W$7:$AA$19</definedName>
    <definedName name="solver_rhs9" localSheetId="2" hidden="1">CaC!$W$7:$AA$19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3" i="5" l="1"/>
  <c r="X34" i="5" s="1"/>
  <c r="Y34" i="5" s="1"/>
  <c r="Z34" i="5" s="1"/>
  <c r="AA34" i="5" s="1"/>
  <c r="S30" i="5"/>
  <c r="X32" i="5" s="1"/>
  <c r="Y32" i="5" s="1"/>
  <c r="Z32" i="5" s="1"/>
  <c r="AA32" i="5" s="1"/>
  <c r="S27" i="5"/>
  <c r="X29" i="5" s="1"/>
  <c r="Y29" i="5" s="1"/>
  <c r="Z29" i="5" s="1"/>
  <c r="AA29" i="5" s="1"/>
  <c r="S22" i="5"/>
  <c r="X26" i="5" s="1"/>
  <c r="Y26" i="5" s="1"/>
  <c r="Z26" i="5" s="1"/>
  <c r="AA26" i="5" s="1"/>
  <c r="S33" i="1"/>
  <c r="X33" i="1" s="1"/>
  <c r="Y33" i="1" s="1"/>
  <c r="Z33" i="1" s="1"/>
  <c r="AA33" i="1" s="1"/>
  <c r="S30" i="1"/>
  <c r="X31" i="1" s="1"/>
  <c r="Y31" i="1" s="1"/>
  <c r="Z31" i="1" s="1"/>
  <c r="AA31" i="1" s="1"/>
  <c r="S27" i="1"/>
  <c r="X29" i="1" s="1"/>
  <c r="Y29" i="1" s="1"/>
  <c r="Z29" i="1" s="1"/>
  <c r="AA29" i="1" s="1"/>
  <c r="S22" i="1"/>
  <c r="X23" i="1" s="1"/>
  <c r="Y23" i="1" s="1"/>
  <c r="Z23" i="1" s="1"/>
  <c r="AA23" i="1" s="1"/>
  <c r="M71" i="5"/>
  <c r="F71" i="5"/>
  <c r="M70" i="5"/>
  <c r="F70" i="5"/>
  <c r="M69" i="5"/>
  <c r="F69" i="5"/>
  <c r="M68" i="5"/>
  <c r="F68" i="5"/>
  <c r="M67" i="5"/>
  <c r="F67" i="5"/>
  <c r="M66" i="5"/>
  <c r="F66" i="5"/>
  <c r="M65" i="5"/>
  <c r="F65" i="5"/>
  <c r="M64" i="5"/>
  <c r="F64" i="5"/>
  <c r="R63" i="5"/>
  <c r="M63" i="5"/>
  <c r="F63" i="5"/>
  <c r="R62" i="5"/>
  <c r="M62" i="5"/>
  <c r="F62" i="5"/>
  <c r="R61" i="5"/>
  <c r="M61" i="5"/>
  <c r="F61" i="5"/>
  <c r="R60" i="5"/>
  <c r="M60" i="5"/>
  <c r="F60" i="5"/>
  <c r="R59" i="5"/>
  <c r="M59" i="5"/>
  <c r="F59" i="5"/>
  <c r="M58" i="5"/>
  <c r="L58" i="5"/>
  <c r="F58" i="5"/>
  <c r="M57" i="5"/>
  <c r="L57" i="5"/>
  <c r="F57" i="5"/>
  <c r="M56" i="5"/>
  <c r="L56" i="5"/>
  <c r="F56" i="5"/>
  <c r="M55" i="5"/>
  <c r="L55" i="5"/>
  <c r="F55" i="5"/>
  <c r="M54" i="5"/>
  <c r="L54" i="5"/>
  <c r="F54" i="5"/>
  <c r="M53" i="5"/>
  <c r="L53" i="5"/>
  <c r="F53" i="5"/>
  <c r="M52" i="5"/>
  <c r="L52" i="5"/>
  <c r="F52" i="5"/>
  <c r="M51" i="5"/>
  <c r="L51" i="5"/>
  <c r="F51" i="5"/>
  <c r="R50" i="5"/>
  <c r="Q50" i="5"/>
  <c r="M50" i="5"/>
  <c r="L50" i="5"/>
  <c r="F50" i="5"/>
  <c r="R49" i="5"/>
  <c r="Q49" i="5"/>
  <c r="M49" i="5"/>
  <c r="L49" i="5"/>
  <c r="F49" i="5"/>
  <c r="R48" i="5"/>
  <c r="Q48" i="5"/>
  <c r="M48" i="5"/>
  <c r="L48" i="5"/>
  <c r="F48" i="5"/>
  <c r="R47" i="5"/>
  <c r="Q47" i="5"/>
  <c r="M47" i="5"/>
  <c r="L47" i="5"/>
  <c r="F47" i="5"/>
  <c r="R46" i="5"/>
  <c r="Q46" i="5"/>
  <c r="M46" i="5"/>
  <c r="L46" i="5"/>
  <c r="F46" i="5"/>
  <c r="L45" i="5"/>
  <c r="K45" i="5"/>
  <c r="F45" i="5"/>
  <c r="L44" i="5"/>
  <c r="K44" i="5"/>
  <c r="F44" i="5"/>
  <c r="M43" i="5"/>
  <c r="L43" i="5"/>
  <c r="K43" i="5"/>
  <c r="F43" i="5"/>
  <c r="L42" i="5"/>
  <c r="K42" i="5"/>
  <c r="F42" i="5"/>
  <c r="M41" i="5"/>
  <c r="L41" i="5"/>
  <c r="K41" i="5"/>
  <c r="F41" i="5"/>
  <c r="M40" i="5"/>
  <c r="L40" i="5"/>
  <c r="K40" i="5"/>
  <c r="F40" i="5"/>
  <c r="M39" i="5"/>
  <c r="L39" i="5"/>
  <c r="K39" i="5"/>
  <c r="F39" i="5"/>
  <c r="M38" i="5"/>
  <c r="L38" i="5"/>
  <c r="K38" i="5"/>
  <c r="F38" i="5"/>
  <c r="R37" i="5"/>
  <c r="Q37" i="5"/>
  <c r="P37" i="5"/>
  <c r="M37" i="5"/>
  <c r="L37" i="5"/>
  <c r="K37" i="5"/>
  <c r="F37" i="5"/>
  <c r="R36" i="5"/>
  <c r="Q36" i="5"/>
  <c r="P36" i="5"/>
  <c r="M36" i="5"/>
  <c r="L36" i="5"/>
  <c r="K36" i="5"/>
  <c r="F36" i="5"/>
  <c r="Q35" i="5"/>
  <c r="P35" i="5"/>
  <c r="L35" i="5"/>
  <c r="K35" i="5"/>
  <c r="F35" i="5"/>
  <c r="R34" i="5"/>
  <c r="Q34" i="5"/>
  <c r="P34" i="5"/>
  <c r="M34" i="5"/>
  <c r="L34" i="5"/>
  <c r="K34" i="5"/>
  <c r="F34" i="5"/>
  <c r="Q33" i="5"/>
  <c r="P33" i="5"/>
  <c r="L33" i="5"/>
  <c r="K33" i="5"/>
  <c r="F33" i="5"/>
  <c r="K32" i="5"/>
  <c r="J32" i="5"/>
  <c r="F32" i="5"/>
  <c r="W31" i="5"/>
  <c r="K31" i="5"/>
  <c r="J31" i="5"/>
  <c r="F31" i="5"/>
  <c r="M30" i="5"/>
  <c r="L30" i="5"/>
  <c r="K30" i="5"/>
  <c r="J30" i="5"/>
  <c r="F30" i="5"/>
  <c r="K29" i="5"/>
  <c r="J29" i="5"/>
  <c r="F29" i="5"/>
  <c r="X28" i="5"/>
  <c r="Y28" i="5" s="1"/>
  <c r="Z28" i="5" s="1"/>
  <c r="AA28" i="5" s="1"/>
  <c r="L28" i="5"/>
  <c r="K28" i="5"/>
  <c r="J28" i="5"/>
  <c r="F28" i="5"/>
  <c r="M27" i="5"/>
  <c r="L27" i="5"/>
  <c r="K27" i="5"/>
  <c r="J27" i="5"/>
  <c r="F27" i="5"/>
  <c r="M26" i="5"/>
  <c r="L26" i="5"/>
  <c r="K26" i="5"/>
  <c r="J26" i="5"/>
  <c r="F26" i="5"/>
  <c r="M25" i="5"/>
  <c r="L25" i="5"/>
  <c r="K25" i="5"/>
  <c r="J25" i="5"/>
  <c r="F25" i="5"/>
  <c r="Q24" i="5"/>
  <c r="P24" i="5"/>
  <c r="O24" i="5"/>
  <c r="L24" i="5"/>
  <c r="K24" i="5"/>
  <c r="J24" i="5"/>
  <c r="F24" i="5"/>
  <c r="Q23" i="5"/>
  <c r="P23" i="5"/>
  <c r="O23" i="5"/>
  <c r="L23" i="5"/>
  <c r="K23" i="5"/>
  <c r="J23" i="5"/>
  <c r="F23" i="5"/>
  <c r="P22" i="5"/>
  <c r="O22" i="5"/>
  <c r="K22" i="5"/>
  <c r="J22" i="5"/>
  <c r="F22" i="5"/>
  <c r="R21" i="5"/>
  <c r="Q21" i="5"/>
  <c r="P21" i="5"/>
  <c r="O21" i="5"/>
  <c r="M21" i="5"/>
  <c r="L21" i="5"/>
  <c r="K21" i="5"/>
  <c r="J21" i="5"/>
  <c r="F21" i="5"/>
  <c r="P20" i="5"/>
  <c r="O20" i="5"/>
  <c r="K20" i="5"/>
  <c r="J20" i="5"/>
  <c r="F20" i="5"/>
  <c r="AA19" i="5"/>
  <c r="Z19" i="5"/>
  <c r="Y19" i="5"/>
  <c r="X19" i="5"/>
  <c r="W19" i="5"/>
  <c r="AA18" i="5"/>
  <c r="Z18" i="5"/>
  <c r="Y18" i="5"/>
  <c r="X18" i="5"/>
  <c r="W18" i="5"/>
  <c r="AA17" i="5"/>
  <c r="Z17" i="5"/>
  <c r="Y17" i="5"/>
  <c r="X17" i="5"/>
  <c r="W17" i="5"/>
  <c r="AA16" i="5"/>
  <c r="Z16" i="5"/>
  <c r="Y16" i="5"/>
  <c r="X16" i="5"/>
  <c r="W16" i="5"/>
  <c r="AA15" i="5"/>
  <c r="Z15" i="5"/>
  <c r="Y15" i="5"/>
  <c r="X15" i="5"/>
  <c r="W15" i="5"/>
  <c r="AA14" i="5"/>
  <c r="Z14" i="5"/>
  <c r="Y14" i="5"/>
  <c r="X14" i="5"/>
  <c r="W14" i="5"/>
  <c r="AA13" i="5"/>
  <c r="Z13" i="5"/>
  <c r="Y13" i="5"/>
  <c r="X13" i="5"/>
  <c r="W13" i="5"/>
  <c r="AA12" i="5"/>
  <c r="Z12" i="5"/>
  <c r="Y12" i="5"/>
  <c r="X12" i="5"/>
  <c r="W12" i="5"/>
  <c r="AA11" i="5"/>
  <c r="Z11" i="5"/>
  <c r="Y11" i="5"/>
  <c r="X11" i="5"/>
  <c r="W11" i="5"/>
  <c r="AA10" i="5"/>
  <c r="Z10" i="5"/>
  <c r="Y10" i="5"/>
  <c r="X10" i="5"/>
  <c r="W10" i="5"/>
  <c r="AA9" i="5"/>
  <c r="Z9" i="5"/>
  <c r="Y9" i="5"/>
  <c r="X9" i="5"/>
  <c r="W9" i="5"/>
  <c r="AA8" i="5"/>
  <c r="Z8" i="5"/>
  <c r="Y8" i="5"/>
  <c r="X8" i="5"/>
  <c r="W8" i="5"/>
  <c r="AA7" i="5"/>
  <c r="Z7" i="5"/>
  <c r="Y7" i="5"/>
  <c r="X7" i="5"/>
  <c r="W7" i="5"/>
  <c r="L1" i="5"/>
  <c r="W31" i="1"/>
  <c r="X27" i="1"/>
  <c r="X28" i="1"/>
  <c r="Y28" i="1" s="1"/>
  <c r="Z28" i="1" s="1"/>
  <c r="AA28" i="1" s="1"/>
  <c r="AA17" i="1"/>
  <c r="G6" i="4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20" i="1"/>
  <c r="E4" i="4"/>
  <c r="G4" i="4" s="1"/>
  <c r="E5" i="4"/>
  <c r="G5" i="4" s="1"/>
  <c r="K1" i="1" s="1"/>
  <c r="E6" i="4"/>
  <c r="E7" i="4"/>
  <c r="G7" i="4" s="1"/>
  <c r="L1" i="1" s="1"/>
  <c r="E8" i="4"/>
  <c r="G8" i="4" s="1"/>
  <c r="E9" i="4"/>
  <c r="G9" i="4" s="1"/>
  <c r="E3" i="4"/>
  <c r="AA19" i="1"/>
  <c r="AA8" i="1"/>
  <c r="M57" i="2"/>
  <c r="M56" i="2"/>
  <c r="M55" i="2"/>
  <c r="M54" i="2"/>
  <c r="M53" i="2"/>
  <c r="Q48" i="2"/>
  <c r="M48" i="2"/>
  <c r="N48" i="2" s="1"/>
  <c r="M47" i="2"/>
  <c r="Q47" i="2" s="1"/>
  <c r="M46" i="2"/>
  <c r="P46" i="2" s="1"/>
  <c r="O45" i="2"/>
  <c r="M45" i="2"/>
  <c r="P45" i="2" s="1"/>
  <c r="M44" i="2"/>
  <c r="Q44" i="2" s="1"/>
  <c r="M43" i="2"/>
  <c r="O43" i="2" s="1"/>
  <c r="M42" i="2"/>
  <c r="N42" i="2" s="1"/>
  <c r="M41" i="2"/>
  <c r="Q41" i="2" s="1"/>
  <c r="M40" i="2"/>
  <c r="N40" i="2" s="1"/>
  <c r="M39" i="2"/>
  <c r="Q39" i="2" s="1"/>
  <c r="M38" i="2"/>
  <c r="P38" i="2" s="1"/>
  <c r="M37" i="2"/>
  <c r="P37" i="2" s="1"/>
  <c r="M36" i="2"/>
  <c r="Q36" i="2" s="1"/>
  <c r="M32" i="2"/>
  <c r="O32" i="2" s="1"/>
  <c r="M31" i="2"/>
  <c r="Q31" i="2" s="1"/>
  <c r="M30" i="2"/>
  <c r="Q30" i="2" s="1"/>
  <c r="M29" i="2"/>
  <c r="M28" i="2"/>
  <c r="M27" i="2"/>
  <c r="M26" i="2"/>
  <c r="M25" i="2"/>
  <c r="N29" i="2" s="1"/>
  <c r="Z24" i="2"/>
  <c r="Q24" i="2" s="1"/>
  <c r="Y24" i="2"/>
  <c r="P24" i="2" s="1"/>
  <c r="X24" i="2"/>
  <c r="O24" i="2" s="1"/>
  <c r="W24" i="2"/>
  <c r="V24" i="2"/>
  <c r="N24" i="2"/>
  <c r="M24" i="2"/>
  <c r="Z23" i="2"/>
  <c r="Q23" i="2" s="1"/>
  <c r="Y23" i="2"/>
  <c r="P23" i="2" s="1"/>
  <c r="X23" i="2"/>
  <c r="W23" i="2"/>
  <c r="N23" i="2" s="1"/>
  <c r="V23" i="2"/>
  <c r="M23" i="2" s="1"/>
  <c r="O23" i="2"/>
  <c r="Z22" i="2"/>
  <c r="Q22" i="2" s="1"/>
  <c r="Y22" i="2"/>
  <c r="P22" i="2" s="1"/>
  <c r="X22" i="2"/>
  <c r="O22" i="2" s="1"/>
  <c r="W22" i="2"/>
  <c r="N22" i="2" s="1"/>
  <c r="V22" i="2"/>
  <c r="M22" i="2" s="1"/>
  <c r="Z21" i="2"/>
  <c r="Q21" i="2" s="1"/>
  <c r="Y21" i="2"/>
  <c r="P21" i="2" s="1"/>
  <c r="X21" i="2"/>
  <c r="O21" i="2" s="1"/>
  <c r="W21" i="2"/>
  <c r="N21" i="2" s="1"/>
  <c r="V21" i="2"/>
  <c r="M21" i="2"/>
  <c r="Z20" i="2"/>
  <c r="Q20" i="2" s="1"/>
  <c r="Y20" i="2"/>
  <c r="P20" i="2" s="1"/>
  <c r="X20" i="2"/>
  <c r="O20" i="2" s="1"/>
  <c r="W20" i="2"/>
  <c r="N20" i="2" s="1"/>
  <c r="V20" i="2"/>
  <c r="M20" i="2" s="1"/>
  <c r="F17" i="2"/>
  <c r="E17" i="2"/>
  <c r="D17" i="2"/>
  <c r="C17" i="2"/>
  <c r="M16" i="2"/>
  <c r="L16" i="2"/>
  <c r="M15" i="2"/>
  <c r="L15" i="2"/>
  <c r="M14" i="2"/>
  <c r="L14" i="2"/>
  <c r="M13" i="2"/>
  <c r="L13" i="2"/>
  <c r="M12" i="2"/>
  <c r="L12" i="2"/>
  <c r="M11" i="2"/>
  <c r="L11" i="2"/>
  <c r="M10" i="2"/>
  <c r="L10" i="2"/>
  <c r="M9" i="2"/>
  <c r="L9" i="2"/>
  <c r="M8" i="2"/>
  <c r="L8" i="2"/>
  <c r="M7" i="2"/>
  <c r="L7" i="2"/>
  <c r="M6" i="2"/>
  <c r="L6" i="2"/>
  <c r="M5" i="2"/>
  <c r="L5" i="2"/>
  <c r="M4" i="2"/>
  <c r="L4" i="2"/>
  <c r="X22" i="5" l="1"/>
  <c r="Y22" i="5" s="1"/>
  <c r="Z22" i="5" s="1"/>
  <c r="AA22" i="5" s="1"/>
  <c r="X23" i="5"/>
  <c r="Y23" i="5" s="1"/>
  <c r="Z23" i="5" s="1"/>
  <c r="AA23" i="5" s="1"/>
  <c r="X24" i="5"/>
  <c r="Y24" i="5" s="1"/>
  <c r="Z24" i="5" s="1"/>
  <c r="AA24" i="5" s="1"/>
  <c r="X27" i="5"/>
  <c r="Y27" i="5" s="1"/>
  <c r="Z27" i="5" s="1"/>
  <c r="AA27" i="5" s="1"/>
  <c r="X25" i="5"/>
  <c r="Y25" i="5" s="1"/>
  <c r="Z25" i="5" s="1"/>
  <c r="AA25" i="5" s="1"/>
  <c r="X33" i="5"/>
  <c r="Y33" i="5" s="1"/>
  <c r="Z33" i="5" s="1"/>
  <c r="AA33" i="5" s="1"/>
  <c r="X31" i="5"/>
  <c r="Y31" i="5" s="1"/>
  <c r="Z31" i="5" s="1"/>
  <c r="AA31" i="5" s="1"/>
  <c r="M1" i="1"/>
  <c r="M1" i="5"/>
  <c r="K1" i="5"/>
  <c r="X22" i="1"/>
  <c r="Y22" i="1" s="1"/>
  <c r="Z22" i="1" s="1"/>
  <c r="AA22" i="1" s="1"/>
  <c r="X30" i="1"/>
  <c r="Y30" i="1" s="1"/>
  <c r="Z30" i="1" s="1"/>
  <c r="AA30" i="1" s="1"/>
  <c r="X32" i="1"/>
  <c r="Y32" i="1" s="1"/>
  <c r="Z32" i="1" s="1"/>
  <c r="AA32" i="1" s="1"/>
  <c r="X26" i="1"/>
  <c r="Y26" i="1" s="1"/>
  <c r="Z26" i="1" s="1"/>
  <c r="AA26" i="1" s="1"/>
  <c r="X25" i="1"/>
  <c r="Y25" i="1" s="1"/>
  <c r="Z25" i="1" s="1"/>
  <c r="AA25" i="1" s="1"/>
  <c r="X24" i="1"/>
  <c r="Y24" i="1" s="1"/>
  <c r="Z24" i="1" s="1"/>
  <c r="AA24" i="1" s="1"/>
  <c r="X34" i="1"/>
  <c r="Y34" i="1" s="1"/>
  <c r="Z34" i="1" s="1"/>
  <c r="AA34" i="1" s="1"/>
  <c r="Q3" i="5"/>
  <c r="J3" i="5"/>
  <c r="P3" i="5"/>
  <c r="O3" i="5"/>
  <c r="K3" i="5"/>
  <c r="R3" i="5"/>
  <c r="L3" i="5"/>
  <c r="M3" i="5"/>
  <c r="F5" i="5"/>
  <c r="X30" i="5"/>
  <c r="Y30" i="5" s="1"/>
  <c r="Z30" i="5" s="1"/>
  <c r="AA30" i="5" s="1"/>
  <c r="Y27" i="1"/>
  <c r="Z27" i="1" s="1"/>
  <c r="AA27" i="1" s="1"/>
  <c r="N39" i="2"/>
  <c r="O42" i="2"/>
  <c r="N47" i="2"/>
  <c r="N32" i="2"/>
  <c r="Q37" i="2"/>
  <c r="P40" i="2"/>
  <c r="N43" i="2"/>
  <c r="Q45" i="2"/>
  <c r="O31" i="2"/>
  <c r="N37" i="2"/>
  <c r="O39" i="2"/>
  <c r="P42" i="2"/>
  <c r="N45" i="2"/>
  <c r="O47" i="2"/>
  <c r="P31" i="2"/>
  <c r="O37" i="2"/>
  <c r="Q42" i="2"/>
  <c r="P32" i="2"/>
  <c r="Q40" i="2"/>
  <c r="P43" i="2"/>
  <c r="O40" i="2"/>
  <c r="Q32" i="2"/>
  <c r="Q38" i="2"/>
  <c r="Q43" i="2"/>
  <c r="Q46" i="2"/>
  <c r="N28" i="2"/>
  <c r="N26" i="2"/>
  <c r="Q27" i="2"/>
  <c r="O29" i="2"/>
  <c r="O48" i="2"/>
  <c r="P26" i="2"/>
  <c r="Q29" i="2"/>
  <c r="O26" i="2"/>
  <c r="P29" i="2"/>
  <c r="N31" i="2"/>
  <c r="P48" i="2"/>
  <c r="Q26" i="2"/>
  <c r="O25" i="2"/>
  <c r="P28" i="2"/>
  <c r="N30" i="2"/>
  <c r="O36" i="2"/>
  <c r="P39" i="2"/>
  <c r="N41" i="2"/>
  <c r="O44" i="2"/>
  <c r="P47" i="2"/>
  <c r="P25" i="2"/>
  <c r="N27" i="2"/>
  <c r="Q28" i="2"/>
  <c r="O30" i="2"/>
  <c r="P36" i="2"/>
  <c r="N38" i="2"/>
  <c r="O41" i="2"/>
  <c r="P44" i="2"/>
  <c r="N46" i="2"/>
  <c r="N25" i="2"/>
  <c r="O28" i="2"/>
  <c r="N36" i="2"/>
  <c r="N44" i="2"/>
  <c r="Q25" i="2"/>
  <c r="O27" i="2"/>
  <c r="P30" i="2"/>
  <c r="O38" i="2"/>
  <c r="P41" i="2"/>
  <c r="O46" i="2"/>
  <c r="P27" i="2"/>
  <c r="AA15" i="1" l="1"/>
  <c r="AA13" i="1"/>
  <c r="Z13" i="1"/>
  <c r="Z18" i="1"/>
  <c r="P1" i="1"/>
  <c r="Q1" i="1" s="1"/>
  <c r="R1" i="1" s="1"/>
  <c r="W18" i="1" l="1"/>
  <c r="W7" i="1"/>
  <c r="Z19" i="1"/>
  <c r="Y19" i="1"/>
  <c r="X19" i="1"/>
  <c r="W19" i="1"/>
  <c r="AA18" i="1"/>
  <c r="Y18" i="1"/>
  <c r="X18" i="1"/>
  <c r="Z17" i="1"/>
  <c r="Y17" i="1"/>
  <c r="X17" i="1"/>
  <c r="W17" i="1"/>
  <c r="AA16" i="1"/>
  <c r="Z16" i="1"/>
  <c r="Y16" i="1"/>
  <c r="X16" i="1"/>
  <c r="W16" i="1"/>
  <c r="Z15" i="1"/>
  <c r="Y15" i="1"/>
  <c r="X15" i="1"/>
  <c r="W15" i="1"/>
  <c r="AA14" i="1"/>
  <c r="Z14" i="1"/>
  <c r="Y14" i="1"/>
  <c r="X14" i="1"/>
  <c r="W14" i="1"/>
  <c r="Y13" i="1"/>
  <c r="X13" i="1"/>
  <c r="W13" i="1"/>
  <c r="AA12" i="1"/>
  <c r="Z12" i="1"/>
  <c r="Y12" i="1"/>
  <c r="X12" i="1"/>
  <c r="W12" i="1"/>
  <c r="AA11" i="1"/>
  <c r="Z11" i="1"/>
  <c r="Y11" i="1"/>
  <c r="X11" i="1"/>
  <c r="W11" i="1"/>
  <c r="AA10" i="1"/>
  <c r="Z10" i="1"/>
  <c r="Y10" i="1"/>
  <c r="X10" i="1"/>
  <c r="W10" i="1"/>
  <c r="AA9" i="1"/>
  <c r="Z9" i="1"/>
  <c r="Y9" i="1"/>
  <c r="X9" i="1"/>
  <c r="W9" i="1"/>
  <c r="Z8" i="1"/>
  <c r="Y8" i="1"/>
  <c r="X8" i="1"/>
  <c r="W8" i="1"/>
  <c r="AA7" i="1"/>
  <c r="Z7" i="1"/>
  <c r="Y7" i="1"/>
  <c r="X7" i="1"/>
  <c r="R60" i="1" l="1"/>
  <c r="R61" i="1"/>
  <c r="R62" i="1"/>
  <c r="R63" i="1"/>
  <c r="R59" i="1"/>
  <c r="R47" i="1"/>
  <c r="R48" i="1"/>
  <c r="R49" i="1"/>
  <c r="R50" i="1"/>
  <c r="R46" i="1"/>
  <c r="Q46" i="1"/>
  <c r="Q47" i="1"/>
  <c r="Q48" i="1"/>
  <c r="Q49" i="1"/>
  <c r="Q50" i="1"/>
  <c r="R37" i="1"/>
  <c r="R36" i="1"/>
  <c r="R34" i="1"/>
  <c r="Q34" i="1"/>
  <c r="Q35" i="1"/>
  <c r="Q36" i="1"/>
  <c r="Q37" i="1"/>
  <c r="Q33" i="1"/>
  <c r="P34" i="1"/>
  <c r="P35" i="1"/>
  <c r="P36" i="1"/>
  <c r="P37" i="1"/>
  <c r="P33" i="1"/>
  <c r="Q24" i="1"/>
  <c r="P24" i="1"/>
  <c r="Q23" i="1"/>
  <c r="P23" i="1"/>
  <c r="R21" i="1"/>
  <c r="Q21" i="1"/>
  <c r="P21" i="1"/>
  <c r="P22" i="1"/>
  <c r="P20" i="1"/>
  <c r="O21" i="1"/>
  <c r="O22" i="1"/>
  <c r="O23" i="1"/>
  <c r="O24" i="1"/>
  <c r="O20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46" i="1"/>
  <c r="M43" i="1"/>
  <c r="M37" i="1"/>
  <c r="M38" i="1"/>
  <c r="M39" i="1"/>
  <c r="M40" i="1"/>
  <c r="M41" i="1"/>
  <c r="M36" i="1"/>
  <c r="M34" i="1"/>
  <c r="M30" i="1"/>
  <c r="M26" i="1"/>
  <c r="M27" i="1"/>
  <c r="M25" i="1"/>
  <c r="M21" i="1"/>
  <c r="Q3" i="1" l="1"/>
  <c r="F13" i="4" s="1"/>
  <c r="P3" i="1"/>
  <c r="E13" i="4" s="1"/>
  <c r="E15" i="4" s="1"/>
  <c r="P1" i="5" s="1"/>
  <c r="O3" i="1"/>
  <c r="D13" i="4" s="1"/>
  <c r="D15" i="4" s="1"/>
  <c r="O1" i="5" s="1"/>
  <c r="R3" i="1"/>
  <c r="G13" i="4" s="1"/>
  <c r="G15" i="4" s="1"/>
  <c r="R1" i="5" s="1"/>
  <c r="M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33" i="1"/>
  <c r="L30" i="1"/>
  <c r="L24" i="1"/>
  <c r="L25" i="1"/>
  <c r="L26" i="1"/>
  <c r="L27" i="1"/>
  <c r="L28" i="1"/>
  <c r="L23" i="1"/>
  <c r="L21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20" i="1"/>
  <c r="J21" i="1"/>
  <c r="J22" i="1"/>
  <c r="J23" i="1"/>
  <c r="J24" i="1"/>
  <c r="J25" i="1"/>
  <c r="J26" i="1"/>
  <c r="J27" i="1"/>
  <c r="J28" i="1"/>
  <c r="J29" i="1"/>
  <c r="J30" i="1"/>
  <c r="J31" i="1"/>
  <c r="J32" i="1"/>
  <c r="J20" i="1"/>
  <c r="F15" i="4" l="1"/>
  <c r="Q1" i="5" s="1"/>
  <c r="J3" i="1"/>
  <c r="F5" i="1"/>
  <c r="L3" i="1"/>
  <c r="K3" i="1"/>
</calcChain>
</file>

<file path=xl/sharedStrings.xml><?xml version="1.0" encoding="utf-8"?>
<sst xmlns="http://schemas.openxmlformats.org/spreadsheetml/2006/main" count="980" uniqueCount="133">
  <si>
    <t>Constrain</t>
  </si>
  <si>
    <t>&gt;</t>
  </si>
  <si>
    <t>&lt;</t>
  </si>
  <si>
    <t>Used Amount</t>
  </si>
  <si>
    <t>Objective Function</t>
  </si>
  <si>
    <t>Production Coefficeint</t>
  </si>
  <si>
    <t>Demand</t>
  </si>
  <si>
    <t>Emission Factor</t>
  </si>
  <si>
    <t>Emission</t>
  </si>
  <si>
    <t>Technology Road</t>
  </si>
  <si>
    <t>Code</t>
  </si>
  <si>
    <t>Abbreviate</t>
  </si>
  <si>
    <t>Vintage</t>
  </si>
  <si>
    <t>Name</t>
  </si>
  <si>
    <t>Total Cost</t>
  </si>
  <si>
    <t>Capacity</t>
  </si>
  <si>
    <t>Cost per Capacity</t>
  </si>
  <si>
    <t>TECH01</t>
  </si>
  <si>
    <t>BIO_PLT</t>
  </si>
  <si>
    <t>Biomass Power Plant</t>
  </si>
  <si>
    <t>TECH02</t>
  </si>
  <si>
    <t>COA_PLT</t>
  </si>
  <si>
    <t>Coal Power Plant</t>
  </si>
  <si>
    <t>TECH03</t>
  </si>
  <si>
    <t>SCGT_PLT</t>
  </si>
  <si>
    <t>Oil Fired Gas Turbine (SCGT)</t>
  </si>
  <si>
    <t>TECH04</t>
  </si>
  <si>
    <t>CCGT_PLT</t>
  </si>
  <si>
    <t>Gas Power Plant (CCGT)</t>
  </si>
  <si>
    <t>TECH05</t>
  </si>
  <si>
    <t>Gas Power Plant (SCGT)</t>
  </si>
  <si>
    <t>TECH06</t>
  </si>
  <si>
    <t>HYD_PLT_L</t>
  </si>
  <si>
    <t>Large Hydropower Plant (Dam) (&gt;100MW)</t>
  </si>
  <si>
    <t>TECH07</t>
  </si>
  <si>
    <t>HYD_PLT_M</t>
  </si>
  <si>
    <t>Medium Hydropower Plant (10-100MW)</t>
  </si>
  <si>
    <t>TECH08</t>
  </si>
  <si>
    <t>HYD_PLT_S</t>
  </si>
  <si>
    <t>Small Hydropower Plant (&lt;10MW)</t>
  </si>
  <si>
    <t>TECH09</t>
  </si>
  <si>
    <t>WID_PLT_OSH</t>
  </si>
  <si>
    <t>Onshore Wind</t>
  </si>
  <si>
    <t>TECH10</t>
  </si>
  <si>
    <t>WID_PLT_OFS</t>
  </si>
  <si>
    <t>Offshore Wind</t>
  </si>
  <si>
    <t>TECH11</t>
  </si>
  <si>
    <t>NUC_PLT</t>
  </si>
  <si>
    <t>Nuclear Power Plant</t>
  </si>
  <si>
    <t>TECH12</t>
  </si>
  <si>
    <t>PV_UTL</t>
  </si>
  <si>
    <t>Solar PV (Utility)</t>
  </si>
  <si>
    <t>TECH13</t>
  </si>
  <si>
    <t>PV_DIS</t>
  </si>
  <si>
    <t>Off-grid Solar PV</t>
  </si>
  <si>
    <t>Upper Limit</t>
  </si>
  <si>
    <t>Lower Limit</t>
  </si>
  <si>
    <t>BAU</t>
  </si>
  <si>
    <t>Estimated Installed Capacity (MW)</t>
  </si>
  <si>
    <t>Capcity</t>
  </si>
  <si>
    <t>Electricity Generation Technology</t>
  </si>
  <si>
    <t>(MW)</t>
  </si>
  <si>
    <t>Existing Capacity</t>
  </si>
  <si>
    <t>Off-grid Hydropower</t>
  </si>
  <si>
    <t>Fuel Price ($/GJ)</t>
  </si>
  <si>
    <t xml:space="preserve">to </t>
  </si>
  <si>
    <t>Fuel Price ($/kw)</t>
  </si>
  <si>
    <t>Costs</t>
  </si>
  <si>
    <t>Technology</t>
  </si>
  <si>
    <t>Capital Cost ($/kW in 2020)</t>
  </si>
  <si>
    <t>Fixed Cost ($/kW/yr in 2020)</t>
  </si>
  <si>
    <t>Operational Life (years)</t>
  </si>
  <si>
    <t>Efficiency</t>
  </si>
  <si>
    <t>Average Capacity Factor</t>
  </si>
  <si>
    <t>Geothermal Power Plant</t>
  </si>
  <si>
    <t>Light Fuel Oil Power Plant</t>
  </si>
  <si>
    <t>CSP with Storage</t>
  </si>
  <si>
    <t>Medium Hydropower Plant (10- 100MW)</t>
  </si>
  <si>
    <t>Demand Coefficeint</t>
  </si>
  <si>
    <t>Light Fuel Oil Standalone Generator (1kW)</t>
  </si>
  <si>
    <t>Solar PV (Distributed with Storage)</t>
  </si>
  <si>
    <t>Capital Cost ($/kW)</t>
  </si>
  <si>
    <t>Renewable Energy Technology</t>
  </si>
  <si>
    <t>EF (kg CO2/GJ)</t>
  </si>
  <si>
    <t>EF (kg CO2/kw)</t>
  </si>
  <si>
    <t>Commodity</t>
  </si>
  <si>
    <t>Crude Oil Imports</t>
  </si>
  <si>
    <t>Crude Oil Extraction</t>
  </si>
  <si>
    <t>Biomass Imports</t>
  </si>
  <si>
    <t>Biomass Extraction</t>
  </si>
  <si>
    <t>Coal Imports</t>
  </si>
  <si>
    <t>Coal Extraction</t>
  </si>
  <si>
    <t>Light Fuel Oil Imports</t>
  </si>
  <si>
    <t>Heavy Fuel Oil Imports</t>
  </si>
  <si>
    <t>Natural Gas Imports</t>
  </si>
  <si>
    <t>Natural Gas Extraction</t>
  </si>
  <si>
    <t>Emissions</t>
  </si>
  <si>
    <t>Fuel</t>
  </si>
  <si>
    <t>CO2 Emission Factor (kg CO2/GJ)</t>
  </si>
  <si>
    <t>Crude oil</t>
  </si>
  <si>
    <t>Biomass</t>
  </si>
  <si>
    <t>Coal</t>
  </si>
  <si>
    <t>Light Fuel Oil</t>
  </si>
  <si>
    <t>Heavy Fuel Oil</t>
  </si>
  <si>
    <t>Natural Gas</t>
  </si>
  <si>
    <t>Reserve</t>
  </si>
  <si>
    <t>Unit</t>
  </si>
  <si>
    <t>Estimated Renewable Energy</t>
  </si>
  <si>
    <t>Potential</t>
  </si>
  <si>
    <t>Solar Resource</t>
  </si>
  <si>
    <t>TWh/yr</t>
  </si>
  <si>
    <t>Medium &amp; Large Hydropower</t>
  </si>
  <si>
    <t>MW</t>
  </si>
  <si>
    <t>Small Hydropower (&lt;10MW)</t>
  </si>
  <si>
    <t>Geothermal</t>
  </si>
  <si>
    <t>Business as Usual</t>
  </si>
  <si>
    <t>Scenario Name</t>
  </si>
  <si>
    <t>Scenario Code</t>
  </si>
  <si>
    <t>Carbon Control</t>
  </si>
  <si>
    <t>-</t>
  </si>
  <si>
    <t>TWh</t>
  </si>
  <si>
    <t>Scaling Amount</t>
  </si>
  <si>
    <t>Scaling Factor</t>
  </si>
  <si>
    <t>Source:</t>
  </si>
  <si>
    <t>Brazil Energy Forecasting Scenarios up to 2050 (enerdata.net)</t>
  </si>
  <si>
    <t>Fossil Fuel</t>
  </si>
  <si>
    <t>Hydro Power</t>
  </si>
  <si>
    <t>Other RNW</t>
  </si>
  <si>
    <t>PV</t>
  </si>
  <si>
    <t>Sheet</t>
  </si>
  <si>
    <t>Yes</t>
  </si>
  <si>
    <t>CaC</t>
  </si>
  <si>
    <t>Growth Constrain (Tech Diffusion)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</si>
</sst>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0.000"/>
    <numFmt numFmtId="178" formatCode="0.0"/>
  </numFmts>
  <fonts count="11" x14ac:knownFonts="1">
    <font>
      <sz val="12"/>
      <color theme="1"/>
      <name val="等线"/>
      <family val="2"/>
      <scheme val="minor"/>
    </font>
    <font>
      <sz val="12"/>
      <color theme="0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u/>
      <sz val="12"/>
      <color theme="10"/>
      <name val="等线"/>
      <family val="2"/>
      <scheme val="minor"/>
    </font>
    <font>
      <sz val="15"/>
      <color rgb="FF000000"/>
      <name val="Aptos Narrow"/>
      <family val="2"/>
    </font>
    <font>
      <b/>
      <sz val="12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9.9978637043366805E-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/>
    <xf numFmtId="0" fontId="0" fillId="6" borderId="0" xfId="0" applyFill="1"/>
    <xf numFmtId="0" fontId="2" fillId="6" borderId="0" xfId="0" applyFont="1" applyFill="1" applyAlignment="1">
      <alignment horizontal="center"/>
    </xf>
    <xf numFmtId="176" fontId="0" fillId="0" borderId="0" xfId="0" applyNumberFormat="1" applyAlignment="1">
      <alignment horizontal="center"/>
    </xf>
    <xf numFmtId="176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76" fontId="0" fillId="0" borderId="5" xfId="0" applyNumberFormat="1" applyBorder="1"/>
    <xf numFmtId="176" fontId="0" fillId="0" borderId="6" xfId="0" applyNumberFormat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9" borderId="0" xfId="0" applyFont="1" applyFill="1"/>
    <xf numFmtId="0" fontId="6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6" borderId="0" xfId="0" applyFont="1" applyFill="1"/>
    <xf numFmtId="0" fontId="5" fillId="6" borderId="0" xfId="0" applyFont="1" applyFill="1"/>
    <xf numFmtId="1" fontId="6" fillId="0" borderId="0" xfId="0" applyNumberFormat="1" applyFont="1" applyAlignment="1">
      <alignment horizontal="center" vertical="center" shrinkToFit="1"/>
    </xf>
    <xf numFmtId="0" fontId="5" fillId="10" borderId="0" xfId="0" applyFont="1" applyFill="1" applyAlignment="1">
      <alignment horizontal="center" vertical="center" wrapText="1"/>
    </xf>
    <xf numFmtId="2" fontId="5" fillId="0" borderId="0" xfId="0" applyNumberFormat="1" applyFont="1" applyAlignment="1">
      <alignment horizontal="center" vertical="center" shrinkToFit="1"/>
    </xf>
    <xf numFmtId="2" fontId="5" fillId="0" borderId="0" xfId="0" applyNumberFormat="1" applyFont="1"/>
    <xf numFmtId="0" fontId="5" fillId="8" borderId="0" xfId="0" applyFont="1" applyFill="1"/>
    <xf numFmtId="178" fontId="5" fillId="0" borderId="0" xfId="0" applyNumberFormat="1" applyFont="1" applyAlignment="1">
      <alignment horizontal="center" vertical="center" shrinkToFit="1"/>
    </xf>
    <xf numFmtId="0" fontId="5" fillId="5" borderId="0" xfId="0" applyFont="1" applyFill="1" applyAlignment="1">
      <alignment horizontal="center" vertical="center" wrapText="1"/>
    </xf>
    <xf numFmtId="178" fontId="5" fillId="5" borderId="0" xfId="0" applyNumberFormat="1" applyFont="1" applyFill="1" applyAlignment="1">
      <alignment horizontal="center" vertical="center" shrinkToFit="1"/>
    </xf>
    <xf numFmtId="2" fontId="5" fillId="5" borderId="0" xfId="0" applyNumberFormat="1" applyFont="1" applyFill="1" applyAlignment="1">
      <alignment horizontal="center" vertical="center" shrinkToFit="1"/>
    </xf>
    <xf numFmtId="0" fontId="5" fillId="5" borderId="0" xfId="0" applyFont="1" applyFill="1"/>
    <xf numFmtId="178" fontId="5" fillId="5" borderId="0" xfId="0" applyNumberFormat="1" applyFont="1" applyFill="1"/>
    <xf numFmtId="0" fontId="5" fillId="11" borderId="0" xfId="0" applyFont="1" applyFill="1" applyAlignment="1">
      <alignment horizontal="center" vertical="center" wrapText="1"/>
    </xf>
    <xf numFmtId="2" fontId="5" fillId="11" borderId="0" xfId="0" applyNumberFormat="1" applyFont="1" applyFill="1" applyAlignment="1">
      <alignment horizontal="center" vertical="center" shrinkToFit="1"/>
    </xf>
    <xf numFmtId="2" fontId="5" fillId="5" borderId="0" xfId="0" applyNumberFormat="1" applyFont="1" applyFill="1"/>
    <xf numFmtId="2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0" xfId="0" applyFont="1" applyFill="1"/>
    <xf numFmtId="0" fontId="5" fillId="7" borderId="0" xfId="0" applyFont="1" applyFill="1"/>
    <xf numFmtId="0" fontId="5" fillId="10" borderId="0" xfId="0" applyFont="1" applyFill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0" fontId="5" fillId="11" borderId="0" xfId="0" applyFont="1" applyFill="1"/>
    <xf numFmtId="178" fontId="5" fillId="0" borderId="0" xfId="0" applyNumberFormat="1" applyFont="1"/>
    <xf numFmtId="0" fontId="5" fillId="5" borderId="1" xfId="0" applyFont="1" applyFill="1" applyBorder="1"/>
    <xf numFmtId="0" fontId="5" fillId="5" borderId="2" xfId="0" applyFont="1" applyFill="1" applyBorder="1"/>
    <xf numFmtId="0" fontId="5" fillId="0" borderId="2" xfId="0" applyFont="1" applyBorder="1"/>
    <xf numFmtId="178" fontId="5" fillId="0" borderId="2" xfId="0" applyNumberFormat="1" applyFont="1" applyBorder="1"/>
    <xf numFmtId="178" fontId="5" fillId="0" borderId="3" xfId="0" applyNumberFormat="1" applyFont="1" applyBorder="1"/>
    <xf numFmtId="0" fontId="5" fillId="5" borderId="4" xfId="0" applyFont="1" applyFill="1" applyBorder="1"/>
    <xf numFmtId="0" fontId="5" fillId="5" borderId="5" xfId="0" applyFont="1" applyFill="1" applyBorder="1"/>
    <xf numFmtId="0" fontId="5" fillId="0" borderId="5" xfId="0" applyFont="1" applyBorder="1"/>
    <xf numFmtId="178" fontId="5" fillId="0" borderId="5" xfId="0" applyNumberFormat="1" applyFont="1" applyBorder="1"/>
    <xf numFmtId="178" fontId="5" fillId="0" borderId="6" xfId="0" applyNumberFormat="1" applyFont="1" applyBorder="1"/>
    <xf numFmtId="177" fontId="5" fillId="0" borderId="0" xfId="0" applyNumberFormat="1" applyFont="1"/>
    <xf numFmtId="0" fontId="5" fillId="9" borderId="0" xfId="0" applyFont="1" applyFill="1" applyAlignment="1">
      <alignment horizontal="center" vertical="center"/>
    </xf>
    <xf numFmtId="1" fontId="5" fillId="9" borderId="0" xfId="0" applyNumberFormat="1" applyFont="1" applyFill="1" applyAlignment="1">
      <alignment horizontal="center" vertical="center" shrinkToFit="1"/>
    </xf>
    <xf numFmtId="178" fontId="5" fillId="9" borderId="0" xfId="0" applyNumberFormat="1" applyFont="1" applyFill="1" applyAlignment="1">
      <alignment horizontal="center" vertical="center" shrinkToFit="1"/>
    </xf>
    <xf numFmtId="2" fontId="5" fillId="9" borderId="0" xfId="0" applyNumberFormat="1" applyFont="1" applyFill="1" applyAlignment="1">
      <alignment horizontal="center" vertical="center" shrinkToFit="1"/>
    </xf>
    <xf numFmtId="0" fontId="5" fillId="0" borderId="3" xfId="0" applyFont="1" applyBorder="1"/>
    <xf numFmtId="0" fontId="5" fillId="0" borderId="6" xfId="0" applyFont="1" applyBorder="1"/>
    <xf numFmtId="0" fontId="6" fillId="5" borderId="0" xfId="0" applyFont="1" applyFill="1"/>
    <xf numFmtId="0" fontId="6" fillId="11" borderId="0" xfId="0" applyFont="1" applyFill="1"/>
    <xf numFmtId="9" fontId="1" fillId="12" borderId="0" xfId="0" applyNumberFormat="1" applyFont="1" applyFill="1" applyAlignment="1">
      <alignment horizontal="center"/>
    </xf>
    <xf numFmtId="0" fontId="0" fillId="0" borderId="2" xfId="0" applyBorder="1" applyAlignment="1">
      <alignment horizontal="center"/>
    </xf>
    <xf numFmtId="0" fontId="3" fillId="2" borderId="2" xfId="0" applyFont="1" applyFill="1" applyBorder="1"/>
    <xf numFmtId="176" fontId="4" fillId="2" borderId="2" xfId="0" applyNumberFormat="1" applyFont="1" applyFill="1" applyBorder="1"/>
    <xf numFmtId="0" fontId="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7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0" borderId="7" xfId="0" applyBorder="1"/>
    <xf numFmtId="177" fontId="0" fillId="0" borderId="0" xfId="0" applyNumberFormat="1" applyAlignment="1">
      <alignment horizontal="center"/>
    </xf>
    <xf numFmtId="176" fontId="0" fillId="0" borderId="8" xfId="0" applyNumberFormat="1" applyBorder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0" borderId="8" xfId="0" applyBorder="1"/>
    <xf numFmtId="0" fontId="0" fillId="0" borderId="5" xfId="0" applyBorder="1" applyAlignment="1">
      <alignment horizontal="center"/>
    </xf>
    <xf numFmtId="176" fontId="0" fillId="0" borderId="5" xfId="0" applyNumberFormat="1" applyBorder="1" applyAlignment="1">
      <alignment horizontal="center"/>
    </xf>
    <xf numFmtId="177" fontId="0" fillId="0" borderId="5" xfId="0" applyNumberFormat="1" applyBorder="1" applyAlignment="1">
      <alignment horizontal="center"/>
    </xf>
    <xf numFmtId="0" fontId="0" fillId="0" borderId="6" xfId="0" applyBorder="1"/>
    <xf numFmtId="0" fontId="2" fillId="0" borderId="1" xfId="0" applyFont="1" applyBorder="1"/>
    <xf numFmtId="0" fontId="2" fillId="0" borderId="2" xfId="0" applyFont="1" applyBorder="1"/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2" fillId="0" borderId="4" xfId="0" applyFont="1" applyBorder="1"/>
    <xf numFmtId="0" fontId="2" fillId="0" borderId="5" xfId="0" applyFont="1" applyBorder="1"/>
    <xf numFmtId="0" fontId="0" fillId="0" borderId="1" xfId="0" applyBorder="1" applyAlignment="1">
      <alignment horizontal="center"/>
    </xf>
    <xf numFmtId="0" fontId="2" fillId="6" borderId="2" xfId="0" applyFont="1" applyFill="1" applyBorder="1" applyAlignment="1">
      <alignment horizontal="left"/>
    </xf>
    <xf numFmtId="0" fontId="0" fillId="6" borderId="2" xfId="0" applyFill="1" applyBorder="1"/>
    <xf numFmtId="0" fontId="0" fillId="0" borderId="3" xfId="0" applyBorder="1"/>
    <xf numFmtId="0" fontId="2" fillId="6" borderId="8" xfId="0" applyFont="1" applyFill="1" applyBorder="1" applyAlignment="1">
      <alignment horizontal="center"/>
    </xf>
    <xf numFmtId="176" fontId="0" fillId="0" borderId="7" xfId="0" applyNumberFormat="1" applyBorder="1" applyAlignment="1">
      <alignment horizontal="center"/>
    </xf>
    <xf numFmtId="176" fontId="0" fillId="0" borderId="8" xfId="0" applyNumberFormat="1" applyBorder="1"/>
    <xf numFmtId="176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7" fillId="0" borderId="0" xfId="1"/>
    <xf numFmtId="0" fontId="0" fillId="11" borderId="0" xfId="0" applyFill="1"/>
    <xf numFmtId="176" fontId="0" fillId="11" borderId="0" xfId="0" applyNumberFormat="1" applyFill="1"/>
    <xf numFmtId="0" fontId="9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7" fillId="0" borderId="0" xfId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9" fontId="0" fillId="0" borderId="5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Capacity Built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BAU!$V$7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BAU!$X$7:$AA$7</c:f>
              <c:numCache>
                <c:formatCode>#,##0.0</c:formatCode>
                <c:ptCount val="4"/>
                <c:pt idx="0">
                  <c:v>12271.470535630402</c:v>
                </c:pt>
                <c:pt idx="1">
                  <c:v>12271.470535630402</c:v>
                </c:pt>
                <c:pt idx="2">
                  <c:v>28223.988312960002</c:v>
                </c:pt>
                <c:pt idx="3">
                  <c:v>37255.664573107213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1-7B4E-B5E8-CFCA152FA228}"/>
            </c:ext>
          </c:extLst>
        </c:ser>
        <c:ser>
          <c:idx val="1"/>
          <c:order val="1"/>
          <c:tx>
            <c:strRef>
              <c:f>BAU!$V$8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BAU!$X$8:$AA$8</c:f>
              <c:numCache>
                <c:formatCode>#,##0.0</c:formatCode>
                <c:ptCount val="4"/>
                <c:pt idx="0">
                  <c:v>4145.5004610869919</c:v>
                </c:pt>
                <c:pt idx="1">
                  <c:v>7223.1191999999082</c:v>
                </c:pt>
                <c:pt idx="2">
                  <c:v>7223.1195741282554</c:v>
                </c:pt>
                <c:pt idx="3">
                  <c:v>11877.343449739781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71-7B4E-B5E8-CFCA152FA228}"/>
            </c:ext>
          </c:extLst>
        </c:ser>
        <c:ser>
          <c:idx val="2"/>
          <c:order val="2"/>
          <c:tx>
            <c:strRef>
              <c:f>BAU!$V$9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BAU!$X$9:$AA$9</c:f>
              <c:numCache>
                <c:formatCode>#,##0.0</c:formatCode>
                <c:ptCount val="4"/>
                <c:pt idx="0">
                  <c:v>17692.171200000001</c:v>
                </c:pt>
                <c:pt idx="1">
                  <c:v>21685.110825409029</c:v>
                </c:pt>
                <c:pt idx="2">
                  <c:v>30826.838771055864</c:v>
                </c:pt>
                <c:pt idx="3">
                  <c:v>40691.427610521605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71-7B4E-B5E8-CFCA152FA228}"/>
            </c:ext>
          </c:extLst>
        </c:ser>
        <c:ser>
          <c:idx val="3"/>
          <c:order val="3"/>
          <c:tx>
            <c:strRef>
              <c:f>BAU!$V$10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BAU!$X$10:$AA$10</c:f>
              <c:numCache>
                <c:formatCode>#,##0.0</c:formatCode>
                <c:ptCount val="4"/>
                <c:pt idx="0">
                  <c:v>19287.360580753517</c:v>
                </c:pt>
                <c:pt idx="1">
                  <c:v>33606.296063998721</c:v>
                </c:pt>
                <c:pt idx="2">
                  <c:v>40765.057782413052</c:v>
                </c:pt>
                <c:pt idx="3">
                  <c:v>58555.61026191774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71-7B4E-B5E8-CFCA152FA228}"/>
            </c:ext>
          </c:extLst>
        </c:ser>
        <c:ser>
          <c:idx val="4"/>
          <c:order val="4"/>
          <c:tx>
            <c:strRef>
              <c:f>BAU!$V$11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BAU!$X$11:$AA$11</c:f>
              <c:numCache>
                <c:formatCode>#,##0.0</c:formatCode>
                <c:ptCount val="4"/>
                <c:pt idx="0">
                  <c:v>718.16010645588688</c:v>
                </c:pt>
                <c:pt idx="1">
                  <c:v>1251.3219839999865</c:v>
                </c:pt>
                <c:pt idx="2">
                  <c:v>1251.3220132884107</c:v>
                </c:pt>
                <c:pt idx="3">
                  <c:v>2180.3034249215825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71-7B4E-B5E8-CFCA152FA228}"/>
            </c:ext>
          </c:extLst>
        </c:ser>
        <c:ser>
          <c:idx val="5"/>
          <c:order val="5"/>
          <c:tx>
            <c:strRef>
              <c:f>BAU!$V$12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BAU!$X$12:$AA$12</c:f>
              <c:numCache>
                <c:formatCode>#,##0.0</c:formatCode>
                <c:ptCount val="4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71-7B4E-B5E8-CFCA152FA228}"/>
            </c:ext>
          </c:extLst>
        </c:ser>
        <c:ser>
          <c:idx val="6"/>
          <c:order val="6"/>
          <c:tx>
            <c:strRef>
              <c:f>BAU!$V$13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BAU!$X$13:$AA$13</c:f>
              <c:numCache>
                <c:formatCode>#,##0.0</c:formatCode>
                <c:ptCount val="4"/>
                <c:pt idx="0">
                  <c:v>6917</c:v>
                </c:pt>
                <c:pt idx="1">
                  <c:v>6917</c:v>
                </c:pt>
                <c:pt idx="2">
                  <c:v>6917</c:v>
                </c:pt>
                <c:pt idx="3">
                  <c:v>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71-7B4E-B5E8-CFCA152FA228}"/>
            </c:ext>
          </c:extLst>
        </c:ser>
        <c:ser>
          <c:idx val="7"/>
          <c:order val="7"/>
          <c:tx>
            <c:strRef>
              <c:f>BAU!$V$14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BAU!$X$14:$AA$14</c:f>
              <c:numCache>
                <c:formatCode>#,##0.0</c:formatCode>
                <c:ptCount val="4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71-7B4E-B5E8-CFCA152FA228}"/>
            </c:ext>
          </c:extLst>
        </c:ser>
        <c:ser>
          <c:idx val="8"/>
          <c:order val="8"/>
          <c:tx>
            <c:strRef>
              <c:f>BAU!$V$15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BAU!$X$15:$AA$15</c:f>
              <c:numCache>
                <c:formatCode>#,##0.0</c:formatCode>
                <c:ptCount val="4"/>
                <c:pt idx="0">
                  <c:v>11378.170206905554</c:v>
                </c:pt>
                <c:pt idx="1">
                  <c:v>11378.170885925938</c:v>
                </c:pt>
                <c:pt idx="2">
                  <c:v>11378.171080791033</c:v>
                </c:pt>
                <c:pt idx="3">
                  <c:v>34543.643040375267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71-7B4E-B5E8-CFCA152FA228}"/>
            </c:ext>
          </c:extLst>
        </c:ser>
        <c:ser>
          <c:idx val="9"/>
          <c:order val="9"/>
          <c:tx>
            <c:strRef>
              <c:f>BAU!$V$16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BAU!$X$16:$AA$16</c:f>
              <c:numCache>
                <c:formatCode>#,##0.0</c:formatCode>
                <c:ptCount val="4"/>
                <c:pt idx="0">
                  <c:v>5006.3907773293149</c:v>
                </c:pt>
                <c:pt idx="1">
                  <c:v>6608.4357630582526</c:v>
                </c:pt>
                <c:pt idx="2">
                  <c:v>8723.1358011732191</c:v>
                </c:pt>
                <c:pt idx="3">
                  <c:v>11514.544369117822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71-7B4E-B5E8-CFCA152FA228}"/>
            </c:ext>
          </c:extLst>
        </c:ser>
        <c:ser>
          <c:idx val="10"/>
          <c:order val="10"/>
          <c:tx>
            <c:strRef>
              <c:f>BAU!$V$17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BAU!$X$17:$AA$17</c:f>
              <c:numCache>
                <c:formatCode>#,##0.0</c:formatCode>
                <c:ptCount val="4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71-7B4E-B5E8-CFCA152FA228}"/>
            </c:ext>
          </c:extLst>
        </c:ser>
        <c:ser>
          <c:idx val="11"/>
          <c:order val="11"/>
          <c:tx>
            <c:strRef>
              <c:f>BAU!$V$18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BAU!$X$18:$AA$18</c:f>
              <c:numCache>
                <c:formatCode>#,##0.0</c:formatCode>
                <c:ptCount val="4"/>
                <c:pt idx="0">
                  <c:v>912.50118158554892</c:v>
                </c:pt>
                <c:pt idx="1">
                  <c:v>52272.000000000007</c:v>
                </c:pt>
                <c:pt idx="2">
                  <c:v>52266.000000000007</c:v>
                </c:pt>
                <c:pt idx="3">
                  <c:v>91078.732800000013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71-7B4E-B5E8-CFCA152FA228}"/>
            </c:ext>
          </c:extLst>
        </c:ser>
        <c:ser>
          <c:idx val="12"/>
          <c:order val="12"/>
          <c:tx>
            <c:strRef>
              <c:f>BAU!$V$19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BAU!$X$6:$AA$6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BAU!$X$19:$AA$19</c:f>
              <c:numCache>
                <c:formatCode>#,##0.0</c:formatCode>
                <c:ptCount val="4"/>
                <c:pt idx="0">
                  <c:v>7.23</c:v>
                </c:pt>
                <c:pt idx="1">
                  <c:v>3484.7739535878864</c:v>
                </c:pt>
                <c:pt idx="2">
                  <c:v>4599.9355852315075</c:v>
                </c:pt>
                <c:pt idx="3">
                  <c:v>6071.9155200000014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71-7B4E-B5E8-CFCA152FA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63248"/>
        <c:axId val="396564960"/>
      </c:areaChart>
      <c:catAx>
        <c:axId val="39656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4960"/>
        <c:crosses val="autoZero"/>
        <c:auto val="1"/>
        <c:lblAlgn val="ctr"/>
        <c:lblOffset val="100"/>
        <c:noMultiLvlLbl val="0"/>
      </c:catAx>
      <c:valAx>
        <c:axId val="3965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Carbon Emission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BAU!$O$6:$R$6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BAU!$O$3:$R$3</c:f>
              <c:numCache>
                <c:formatCode>#,##0.0</c:formatCode>
                <c:ptCount val="4"/>
                <c:pt idx="0">
                  <c:v>16025494.044372622</c:v>
                </c:pt>
                <c:pt idx="1">
                  <c:v>22057964.627804395</c:v>
                </c:pt>
                <c:pt idx="2">
                  <c:v>30554985.865017019</c:v>
                </c:pt>
                <c:pt idx="3">
                  <c:v>41988290.116363019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9-0546-8EA4-5A05D624E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106416"/>
        <c:axId val="397108128"/>
      </c:lineChart>
      <c:catAx>
        <c:axId val="3971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108128"/>
        <c:crosses val="autoZero"/>
        <c:auto val="1"/>
        <c:lblAlgn val="ctr"/>
        <c:lblOffset val="100"/>
        <c:noMultiLvlLbl val="0"/>
      </c:catAx>
      <c:valAx>
        <c:axId val="3971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1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Capacity Built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CaC!$V$7</c:f>
              <c:strCache>
                <c:ptCount val="1"/>
                <c:pt idx="0">
                  <c:v>Biomass Power Plant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CaC!$X$7:$AA$7</c:f>
              <c:numCache>
                <c:formatCode>#,##0.0</c:formatCode>
                <c:ptCount val="4"/>
                <c:pt idx="0">
                  <c:v>12271.47</c:v>
                </c:pt>
                <c:pt idx="1">
                  <c:v>12271.47</c:v>
                </c:pt>
                <c:pt idx="2">
                  <c:v>1.1151126498020256E-13</c:v>
                </c:pt>
                <c:pt idx="3">
                  <c:v>9750.8175691302931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3-6443-BD8E-94A0B5C0D180}"/>
            </c:ext>
          </c:extLst>
        </c:ser>
        <c:ser>
          <c:idx val="1"/>
          <c:order val="1"/>
          <c:tx>
            <c:strRef>
              <c:f>CaC!$V$8</c:f>
              <c:strCache>
                <c:ptCount val="1"/>
                <c:pt idx="0">
                  <c:v>Coal Power Plant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CaC!$X$8:$AA$8</c:f>
              <c:numCache>
                <c:formatCode>#,##0.0</c:formatCode>
                <c:ptCount val="4"/>
                <c:pt idx="0">
                  <c:v>4145.5</c:v>
                </c:pt>
                <c:pt idx="1">
                  <c:v>4145.5</c:v>
                </c:pt>
                <c:pt idx="2">
                  <c:v>4145.5</c:v>
                </c:pt>
                <c:pt idx="3">
                  <c:v>12585.562894080003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53-6443-BD8E-94A0B5C0D180}"/>
            </c:ext>
          </c:extLst>
        </c:ser>
        <c:ser>
          <c:idx val="2"/>
          <c:order val="2"/>
          <c:tx>
            <c:strRef>
              <c:f>CaC!$V$9</c:f>
              <c:strCache>
                <c:ptCount val="1"/>
                <c:pt idx="0">
                  <c:v>Oil Fired Gas Turbine (SCGT)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CaC!$X$9:$AA$9</c:f>
              <c:numCache>
                <c:formatCode>#,##0.0</c:formatCode>
                <c:ptCount val="4"/>
                <c:pt idx="0">
                  <c:v>13585.180220661952</c:v>
                </c:pt>
                <c:pt idx="1">
                  <c:v>15055.8901535736</c:v>
                </c:pt>
                <c:pt idx="2">
                  <c:v>30826.839098880009</c:v>
                </c:pt>
                <c:pt idx="3">
                  <c:v>40691.427610521721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53-6443-BD8E-94A0B5C0D180}"/>
            </c:ext>
          </c:extLst>
        </c:ser>
        <c:ser>
          <c:idx val="3"/>
          <c:order val="3"/>
          <c:tx>
            <c:strRef>
              <c:f>CaC!$V$10</c:f>
              <c:strCache>
                <c:ptCount val="1"/>
                <c:pt idx="0">
                  <c:v>Gas Power Plant (CCGT)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CaC!$X$10:$AA$10</c:f>
              <c:numCache>
                <c:formatCode>#,##0.0</c:formatCode>
                <c:ptCount val="4"/>
                <c:pt idx="0">
                  <c:v>19287.36</c:v>
                </c:pt>
                <c:pt idx="1">
                  <c:v>33606.296064000002</c:v>
                </c:pt>
                <c:pt idx="2">
                  <c:v>44360.310804480003</c:v>
                </c:pt>
                <c:pt idx="3">
                  <c:v>58555.610261913607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53-6443-BD8E-94A0B5C0D180}"/>
            </c:ext>
          </c:extLst>
        </c:ser>
        <c:ser>
          <c:idx val="4"/>
          <c:order val="4"/>
          <c:tx>
            <c:strRef>
              <c:f>CaC!$V$11</c:f>
              <c:strCache>
                <c:ptCount val="1"/>
                <c:pt idx="0">
                  <c:v>Gas Power Plant (SCGT)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CaC!$X$11:$AA$11</c:f>
              <c:numCache>
                <c:formatCode>#,##0.0</c:formatCode>
                <c:ptCount val="4"/>
                <c:pt idx="0">
                  <c:v>718.16</c:v>
                </c:pt>
                <c:pt idx="1">
                  <c:v>1251.3219839999999</c:v>
                </c:pt>
                <c:pt idx="2">
                  <c:v>1651.7450188800003</c:v>
                </c:pt>
                <c:pt idx="3">
                  <c:v>2180.3034249216003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53-6443-BD8E-94A0B5C0D180}"/>
            </c:ext>
          </c:extLst>
        </c:ser>
        <c:ser>
          <c:idx val="5"/>
          <c:order val="5"/>
          <c:tx>
            <c:strRef>
              <c:f>CaC!$V$12</c:f>
              <c:strCache>
                <c:ptCount val="1"/>
                <c:pt idx="0">
                  <c:v>Large Hydropower Plant (Dam) (&gt;100MW)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CaC!$X$12:$AA$12</c:f>
              <c:numCache>
                <c:formatCode>#,##0.0</c:formatCode>
                <c:ptCount val="4"/>
                <c:pt idx="0">
                  <c:v>88787</c:v>
                </c:pt>
                <c:pt idx="1">
                  <c:v>88787</c:v>
                </c:pt>
                <c:pt idx="2">
                  <c:v>88787</c:v>
                </c:pt>
                <c:pt idx="3">
                  <c:v>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53-6443-BD8E-94A0B5C0D180}"/>
            </c:ext>
          </c:extLst>
        </c:ser>
        <c:ser>
          <c:idx val="6"/>
          <c:order val="6"/>
          <c:tx>
            <c:strRef>
              <c:f>CaC!$V$13</c:f>
              <c:strCache>
                <c:ptCount val="1"/>
                <c:pt idx="0">
                  <c:v>Medium Hydropower Plant (10-100MW)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CaC!$X$13:$AA$13</c:f>
              <c:numCache>
                <c:formatCode>#,##0.0</c:formatCode>
                <c:ptCount val="4"/>
                <c:pt idx="0">
                  <c:v>6917</c:v>
                </c:pt>
                <c:pt idx="1">
                  <c:v>6917</c:v>
                </c:pt>
                <c:pt idx="2">
                  <c:v>6917</c:v>
                </c:pt>
                <c:pt idx="3">
                  <c:v>6917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53-6443-BD8E-94A0B5C0D180}"/>
            </c:ext>
          </c:extLst>
        </c:ser>
        <c:ser>
          <c:idx val="7"/>
          <c:order val="7"/>
          <c:tx>
            <c:strRef>
              <c:f>CaC!$V$14</c:f>
              <c:strCache>
                <c:ptCount val="1"/>
                <c:pt idx="0">
                  <c:v>Small Hydropower Plant (&lt;10MW)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CaC!$X$14:$AA$14</c:f>
              <c:numCache>
                <c:formatCode>#,##0.0</c:formatCode>
                <c:ptCount val="4"/>
                <c:pt idx="0">
                  <c:v>1062</c:v>
                </c:pt>
                <c:pt idx="1">
                  <c:v>1062</c:v>
                </c:pt>
                <c:pt idx="2">
                  <c:v>1062</c:v>
                </c:pt>
                <c:pt idx="3">
                  <c:v>1062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53-6443-BD8E-94A0B5C0D180}"/>
            </c:ext>
          </c:extLst>
        </c:ser>
        <c:ser>
          <c:idx val="8"/>
          <c:order val="8"/>
          <c:tx>
            <c:strRef>
              <c:f>CaC!$V$15</c:f>
              <c:strCache>
                <c:ptCount val="1"/>
                <c:pt idx="0">
                  <c:v>Onshore Wind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CaC!$X$15:$AA$15</c:f>
              <c:numCache>
                <c:formatCode>#,##0.0</c:formatCode>
                <c:ptCount val="4"/>
                <c:pt idx="0">
                  <c:v>11378.17</c:v>
                </c:pt>
                <c:pt idx="1">
                  <c:v>22301.213199999995</c:v>
                </c:pt>
                <c:pt idx="2">
                  <c:v>22301.213199999995</c:v>
                </c:pt>
                <c:pt idx="3">
                  <c:v>35292.253529839298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53-6443-BD8E-94A0B5C0D180}"/>
            </c:ext>
          </c:extLst>
        </c:ser>
        <c:ser>
          <c:idx val="9"/>
          <c:order val="9"/>
          <c:tx>
            <c:strRef>
              <c:f>CaC!$V$16</c:f>
              <c:strCache>
                <c:ptCount val="1"/>
                <c:pt idx="0">
                  <c:v>Offshore Wind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CaC!$X$16:$AA$16</c:f>
              <c:numCache>
                <c:formatCode>#,##0.0</c:formatCode>
                <c:ptCount val="4"/>
                <c:pt idx="0">
                  <c:v>-5.7075982558009331E-15</c:v>
                </c:pt>
                <c:pt idx="1">
                  <c:v>1.9374127443719383E-14</c:v>
                </c:pt>
                <c:pt idx="2">
                  <c:v>-8.509916642569461E-15</c:v>
                </c:pt>
                <c:pt idx="3">
                  <c:v>9.8483731263820372E-14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353-6443-BD8E-94A0B5C0D180}"/>
            </c:ext>
          </c:extLst>
        </c:ser>
        <c:ser>
          <c:idx val="10"/>
          <c:order val="10"/>
          <c:tx>
            <c:strRef>
              <c:f>CaC!$V$17</c:f>
              <c:strCache>
                <c:ptCount val="1"/>
                <c:pt idx="0">
                  <c:v>Nuclear Power Plant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CaC!$X$17:$AA$17</c:f>
              <c:numCache>
                <c:formatCode>#,##0.0</c:formatCode>
                <c:ptCount val="4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353-6443-BD8E-94A0B5C0D180}"/>
            </c:ext>
          </c:extLst>
        </c:ser>
        <c:ser>
          <c:idx val="11"/>
          <c:order val="11"/>
          <c:tx>
            <c:strRef>
              <c:f>CaC!$V$18</c:f>
              <c:strCache>
                <c:ptCount val="1"/>
                <c:pt idx="0">
                  <c:v>Solar PV (Utility)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CaC!$X$18:$AA$18</c:f>
              <c:numCache>
                <c:formatCode>#,##0.0</c:formatCode>
                <c:ptCount val="4"/>
                <c:pt idx="0">
                  <c:v>9268.9298770795285</c:v>
                </c:pt>
                <c:pt idx="1">
                  <c:v>58799.999999999993</c:v>
                </c:pt>
                <c:pt idx="2">
                  <c:v>58793.999999999993</c:v>
                </c:pt>
                <c:pt idx="3">
                  <c:v>115247.99999999997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353-6443-BD8E-94A0B5C0D180}"/>
            </c:ext>
          </c:extLst>
        </c:ser>
        <c:ser>
          <c:idx val="12"/>
          <c:order val="12"/>
          <c:tx>
            <c:strRef>
              <c:f>CaC!$V$19</c:f>
              <c:strCache>
                <c:ptCount val="1"/>
                <c:pt idx="0">
                  <c:v>Off-grid Solar PV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CaC!$X$6:$AA$6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CaC!$X$19:$AA$19</c:f>
              <c:numCache>
                <c:formatCode>#,##0.0</c:formatCode>
                <c:ptCount val="4"/>
                <c:pt idx="0">
                  <c:v>7.2300000000000315</c:v>
                </c:pt>
                <c:pt idx="1">
                  <c:v>675.68335120344773</c:v>
                </c:pt>
                <c:pt idx="2">
                  <c:v>668.45335120344771</c:v>
                </c:pt>
                <c:pt idx="3">
                  <c:v>7683.199999999998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353-6443-BD8E-94A0B5C0D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563248"/>
        <c:axId val="396564960"/>
      </c:areaChart>
      <c:catAx>
        <c:axId val="39656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4960"/>
        <c:crosses val="autoZero"/>
        <c:auto val="1"/>
        <c:lblAlgn val="ctr"/>
        <c:lblOffset val="100"/>
        <c:noMultiLvlLbl val="0"/>
      </c:catAx>
      <c:valAx>
        <c:axId val="3965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656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Carbon Emission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CaC!$O$6:$R$6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CaC!$O$3:$R$3</c:f>
              <c:numCache>
                <c:formatCode>#,##0.0</c:formatCode>
                <c:ptCount val="4"/>
                <c:pt idx="0">
                  <c:v>14743454.608894598</c:v>
                </c:pt>
                <c:pt idx="1">
                  <c:v>18749269.969403572</c:v>
                </c:pt>
                <c:pt idx="2">
                  <c:v>22223222.971200518</c:v>
                </c:pt>
                <c:pt idx="3">
                  <c:v>31491217.555566579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C-D249-908C-753BE80F0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106416"/>
        <c:axId val="397108128"/>
      </c:lineChart>
      <c:catAx>
        <c:axId val="3971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108128"/>
        <c:crosses val="autoZero"/>
        <c:auto val="1"/>
        <c:lblAlgn val="ctr"/>
        <c:lblOffset val="100"/>
        <c:noMultiLvlLbl val="0"/>
      </c:catAx>
      <c:valAx>
        <c:axId val="39710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71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'Demand&amp;Emission'!$C$13</c:f>
              <c:strCache>
                <c:ptCount val="1"/>
                <c:pt idx="0">
                  <c:v>BAU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'Demand&amp;Emission'!$D$12:$G$12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'Demand&amp;Emission'!$D$13:$G$13</c:f>
              <c:numCache>
                <c:formatCode>General</c:formatCode>
                <c:ptCount val="4"/>
                <c:pt idx="0">
                  <c:v>16025494.044372622</c:v>
                </c:pt>
                <c:pt idx="1">
                  <c:v>22057964.627804395</c:v>
                </c:pt>
                <c:pt idx="2" formatCode="0.00">
                  <c:v>30554985.865017019</c:v>
                </c:pt>
                <c:pt idx="3">
                  <c:v>41988290.116363019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3-8D4E-BBCA-7085FACCC77D}"/>
            </c:ext>
          </c:extLst>
        </c:ser>
        <c:ser>
          <c:idx val="1"/>
          <c:order val="1"/>
          <c:tx>
            <c:strRef>
              <c:f>'Demand&amp;Emission'!$C$15</c:f>
              <c:strCache>
                <c:ptCount val="1"/>
                <c:pt idx="0">
                  <c:v>CaC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'Demand&amp;Emission'!$D$12:$G$12</c:f>
              <c:numCache>
                <c:formatCode>General</c:formatCode>
                <c:ptCount val="4"/>
                <c:pt idx="0">
                  <c:v>2020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'Demand&amp;Emission'!$D$15:$G$15</c:f>
              <c:numCache>
                <c:formatCode>General</c:formatCode>
                <c:ptCount val="4"/>
                <c:pt idx="0">
                  <c:v>14743454.520822814</c:v>
                </c:pt>
                <c:pt idx="1">
                  <c:v>18749269.933633734</c:v>
                </c:pt>
                <c:pt idx="2">
                  <c:v>24443988.692013618</c:v>
                </c:pt>
                <c:pt idx="3">
                  <c:v>31491217.587272264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3-8D4E-BBCA-7085FACCC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4585568"/>
        <c:axId val="604587296"/>
      </c:lineChart>
      <c:catAx>
        <c:axId val="604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587296"/>
        <c:crosses val="autoZero"/>
        <c:auto val="1"/>
        <c:lblAlgn val="ctr"/>
        <c:lblOffset val="100"/>
        <c:noMultiLvlLbl val="0"/>
      </c:catAx>
      <c:valAx>
        <c:axId val="60458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58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304800</xdr:colOff>
      <xdr:row>2</xdr:row>
      <xdr:rowOff>139700</xdr:rowOff>
    </xdr:from>
    <xdr:to>
      <xdr:col>38</xdr:col>
      <xdr:colOff>558800</xdr:colOff>
      <xdr:row>31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0</xdr:row>
          <xdr:rowOff>165100</xdr:rowOff>
        </xdr:from>
        <xdr:to>
          <xdr:col>26</xdr:col>
          <xdr:colOff>800100</xdr:colOff>
          <xdr:row>2</xdr:row>
          <xdr:rowOff>139700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5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346926</xdr:colOff>
      <xdr:row>31</xdr:row>
      <xdr:rowOff>146204</xdr:rowOff>
    </xdr:from>
    <xdr:to>
      <xdr:col>38</xdr:col>
      <xdr:colOff>557560</xdr:colOff>
      <xdr:row>45</xdr:row>
      <xdr:rowOff>170365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304800</xdr:colOff>
      <xdr:row>2</xdr:row>
      <xdr:rowOff>139700</xdr:rowOff>
    </xdr:from>
    <xdr:to>
      <xdr:col>38</xdr:col>
      <xdr:colOff>558800</xdr:colOff>
      <xdr:row>31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0</xdr:row>
          <xdr:rowOff>165100</xdr:rowOff>
        </xdr:from>
        <xdr:to>
          <xdr:col>26</xdr:col>
          <xdr:colOff>800100</xdr:colOff>
          <xdr:row>2</xdr:row>
          <xdr:rowOff>139700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CN" altLang="en-US" sz="1500" b="0" i="0" u="none" strike="noStrike" baseline="0">
                  <a:solidFill>
                    <a:srgbClr val="000000"/>
                  </a:solidFill>
                  <a:latin typeface="Aptos Narrow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346926</xdr:colOff>
      <xdr:row>31</xdr:row>
      <xdr:rowOff>146204</xdr:rowOff>
    </xdr:from>
    <xdr:to>
      <xdr:col>38</xdr:col>
      <xdr:colOff>557560</xdr:colOff>
      <xdr:row>45</xdr:row>
      <xdr:rowOff>170365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941798</xdr:colOff>
      <xdr:row>12</xdr:row>
      <xdr:rowOff>85617</xdr:rowOff>
    </xdr:from>
    <xdr:to>
      <xdr:col>9</xdr:col>
      <xdr:colOff>114158</xdr:colOff>
      <xdr:row>18</xdr:row>
      <xdr:rowOff>14269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71298" y="1889017"/>
          <a:ext cx="1420260" cy="817652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  <xdr:twoCellAnchor>
    <xdr:from>
      <xdr:col>6</xdr:col>
      <xdr:colOff>1000328</xdr:colOff>
      <xdr:row>33</xdr:row>
      <xdr:rowOff>46437</xdr:rowOff>
    </xdr:from>
    <xdr:to>
      <xdr:col>9</xdr:col>
      <xdr:colOff>172688</xdr:colOff>
      <xdr:row>39</xdr:row>
      <xdr:rowOff>18140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429828" y="4859737"/>
          <a:ext cx="1420260" cy="809903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i="1" u="sng">
              <a:latin typeface="Times New Roman" panose="02020603050405020304" pitchFamily="18" charset="0"/>
              <a:cs typeface="Times New Roman" panose="02020603050405020304" pitchFamily="18" charset="0"/>
            </a:rPr>
            <a:t>Pre-Process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819629</xdr:colOff>
      <xdr:row>16</xdr:row>
      <xdr:rowOff>47811</xdr:rowOff>
    </xdr:from>
    <xdr:to>
      <xdr:col>6</xdr:col>
      <xdr:colOff>928487</xdr:colOff>
      <xdr:row>28</xdr:row>
      <xdr:rowOff>21345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eneroutlook.enerdata.net/brazil-energy-forecas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5ACA8-81FC-BD4A-BDC2-45D73239A9C6}">
  <sheetPr codeName="Sheet1"/>
  <dimension ref="B1:I7"/>
  <sheetViews>
    <sheetView zoomScale="163" zoomScaleNormal="157" zoomScaleSheetLayoutView="114" workbookViewId="0">
      <selection activeCell="B4" sqref="B4"/>
    </sheetView>
  </sheetViews>
  <sheetFormatPr defaultColWidth="10.84375" defaultRowHeight="15.5" x14ac:dyDescent="0.35"/>
  <cols>
    <col min="1" max="1" width="5.15234375" style="4" customWidth="1"/>
    <col min="2" max="2" width="8.4609375" style="4" customWidth="1"/>
    <col min="3" max="3" width="13.84375" style="4" customWidth="1"/>
    <col min="4" max="4" width="16" style="4" customWidth="1"/>
    <col min="5" max="5" width="15.15234375" style="4" customWidth="1"/>
    <col min="6" max="9" width="10.84375" style="4"/>
    <col min="10" max="10" width="8.3046875" style="4" customWidth="1"/>
    <col min="11" max="16384" width="10.84375" style="4"/>
  </cols>
  <sheetData>
    <row r="1" spans="2:9" ht="16" thickBot="1" x14ac:dyDescent="0.4"/>
    <row r="2" spans="2:9" x14ac:dyDescent="0.35">
      <c r="B2" s="113"/>
      <c r="C2" s="114"/>
      <c r="D2" s="114"/>
      <c r="E2" s="114"/>
      <c r="F2" s="126" t="s">
        <v>132</v>
      </c>
      <c r="G2" s="126"/>
      <c r="H2" s="126"/>
      <c r="I2" s="127"/>
    </row>
    <row r="3" spans="2:9" x14ac:dyDescent="0.35">
      <c r="B3" s="115" t="s">
        <v>129</v>
      </c>
      <c r="C3" s="116" t="s">
        <v>117</v>
      </c>
      <c r="D3" s="116" t="s">
        <v>116</v>
      </c>
      <c r="E3" s="116" t="s">
        <v>118</v>
      </c>
      <c r="F3" s="116" t="s">
        <v>125</v>
      </c>
      <c r="G3" s="116" t="s">
        <v>126</v>
      </c>
      <c r="H3" s="116" t="s">
        <v>127</v>
      </c>
      <c r="I3" s="117" t="s">
        <v>128</v>
      </c>
    </row>
    <row r="4" spans="2:9" x14ac:dyDescent="0.35">
      <c r="B4" s="118" t="s">
        <v>57</v>
      </c>
      <c r="C4" s="4" t="s">
        <v>57</v>
      </c>
      <c r="D4" s="4" t="s">
        <v>115</v>
      </c>
      <c r="E4" s="4" t="s">
        <v>119</v>
      </c>
      <c r="F4" s="111">
        <v>0.32</v>
      </c>
      <c r="G4" s="111">
        <v>0</v>
      </c>
      <c r="H4" s="111">
        <v>0.32</v>
      </c>
      <c r="I4" s="119">
        <v>0.32</v>
      </c>
    </row>
    <row r="5" spans="2:9" ht="16" thickBot="1" x14ac:dyDescent="0.4">
      <c r="B5" s="120" t="s">
        <v>131</v>
      </c>
      <c r="C5" s="121" t="s">
        <v>131</v>
      </c>
      <c r="D5" s="121" t="s">
        <v>118</v>
      </c>
      <c r="E5" s="122" t="s">
        <v>130</v>
      </c>
      <c r="F5" s="123">
        <v>0.32</v>
      </c>
      <c r="G5" s="123">
        <v>0</v>
      </c>
      <c r="H5" s="123">
        <v>0.4</v>
      </c>
      <c r="I5" s="124">
        <v>0.4</v>
      </c>
    </row>
    <row r="6" spans="2:9" x14ac:dyDescent="0.35">
      <c r="B6" s="125"/>
      <c r="E6" s="125"/>
      <c r="F6" s="111"/>
      <c r="G6" s="111"/>
      <c r="H6" s="111"/>
      <c r="I6" s="111"/>
    </row>
    <row r="7" spans="2:9" x14ac:dyDescent="0.35">
      <c r="B7" s="112"/>
      <c r="E7" s="112"/>
      <c r="F7" s="111"/>
      <c r="G7" s="111"/>
      <c r="H7" s="111"/>
      <c r="I7" s="111"/>
    </row>
  </sheetData>
  <mergeCells count="1">
    <mergeCell ref="F2:I2"/>
  </mergeCells>
  <phoneticPr fontId="10" type="noConversion"/>
  <hyperlinks>
    <hyperlink ref="B4" location="BAU!A1" display="BAU" xr:uid="{736AC061-5CC9-9641-9E82-9D11B044B0CD}"/>
    <hyperlink ref="B5" location="CaC!A1" display="CaC" xr:uid="{E81EEA23-397C-7849-951B-B37436CA9167}"/>
    <hyperlink ref="E5" location="'Demand&amp;Emission'!A1" display="Yes" xr:uid="{11A92F49-2C9A-3542-A15E-E35BA8FC5ECE}"/>
  </hyperlinks>
  <pageMargins left="0.7" right="0.7" top="0.75" bottom="0.75" header="0.3" footer="0.3"/>
  <pageSetup paperSize="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3966-2AF6-2A45-BFA5-6F270D85BC3E}">
  <sheetPr codeName="Sheet3"/>
  <dimension ref="B1:AB71"/>
  <sheetViews>
    <sheetView tabSelected="1" topLeftCell="G1" zoomScale="85" zoomScaleNormal="85" workbookViewId="0">
      <selection activeCell="AK55" sqref="AK55"/>
    </sheetView>
  </sheetViews>
  <sheetFormatPr defaultColWidth="11" defaultRowHeight="15.5" x14ac:dyDescent="0.35"/>
  <cols>
    <col min="1" max="1" width="3.69140625" customWidth="1"/>
    <col min="2" max="2" width="8" customWidth="1"/>
    <col min="3" max="3" width="12.15234375" customWidth="1"/>
    <col min="4" max="4" width="11" style="1"/>
    <col min="5" max="5" width="35.4609375" customWidth="1"/>
    <col min="6" max="6" width="16.4609375" customWidth="1"/>
    <col min="7" max="7" width="11" style="1" bestFit="1"/>
    <col min="8" max="8" width="16.84375" customWidth="1"/>
    <col min="9" max="9" width="11.69140625" customWidth="1"/>
    <col min="15" max="18" width="13.3046875" customWidth="1"/>
    <col min="19" max="19" width="7.69140625" customWidth="1"/>
    <col min="22" max="22" width="33.84375" customWidth="1"/>
    <col min="46" max="46" width="17.4609375" customWidth="1"/>
    <col min="47" max="47" width="16.69140625" customWidth="1"/>
    <col min="48" max="48" width="23" customWidth="1"/>
  </cols>
  <sheetData>
    <row r="1" spans="2:27" x14ac:dyDescent="0.35">
      <c r="H1" s="2" t="s">
        <v>0</v>
      </c>
      <c r="I1" s="2"/>
      <c r="J1" s="3">
        <v>85000</v>
      </c>
      <c r="K1" s="3">
        <f>'Demand&amp;Emission'!$G$5</f>
        <v>110709.73811237721</v>
      </c>
      <c r="L1" s="3">
        <f>'Demand&amp;Emission'!$G$7</f>
        <v>135114.36651379176</v>
      </c>
      <c r="M1" s="3">
        <f>'Demand&amp;Emission'!$G$9</f>
        <v>155478.49352424362</v>
      </c>
      <c r="N1" s="3"/>
      <c r="O1" s="3">
        <v>99686635.149286196</v>
      </c>
      <c r="P1" s="3">
        <f>O1*0.98</f>
        <v>97692902.446300477</v>
      </c>
      <c r="Q1" s="3">
        <f t="shared" ref="Q1:R1" si="0">P1*0.98</f>
        <v>95739044.397374466</v>
      </c>
      <c r="R1" s="3">
        <f t="shared" si="0"/>
        <v>93824263.509426981</v>
      </c>
      <c r="S1" s="4"/>
    </row>
    <row r="2" spans="2:27" ht="16" thickBot="1" x14ac:dyDescent="0.4">
      <c r="H2" s="2"/>
      <c r="I2" s="2"/>
      <c r="J2" s="4" t="s">
        <v>1</v>
      </c>
      <c r="K2" s="4" t="s">
        <v>1</v>
      </c>
      <c r="L2" s="4" t="s">
        <v>1</v>
      </c>
      <c r="M2" s="4" t="s">
        <v>1</v>
      </c>
      <c r="N2" s="4"/>
      <c r="O2" s="4" t="s">
        <v>2</v>
      </c>
      <c r="P2" s="4" t="s">
        <v>2</v>
      </c>
      <c r="Q2" s="4" t="s">
        <v>2</v>
      </c>
      <c r="R2" s="4" t="s">
        <v>2</v>
      </c>
      <c r="S2" s="1"/>
      <c r="T2" s="1"/>
    </row>
    <row r="3" spans="2:27" x14ac:dyDescent="0.35">
      <c r="H3" s="91" t="s">
        <v>3</v>
      </c>
      <c r="I3" s="92"/>
      <c r="J3" s="93">
        <f>SUM(J7:J32)</f>
        <v>84999.999957515945</v>
      </c>
      <c r="K3" s="93">
        <f>SUM(K7:K45)</f>
        <v>110709.7380977592</v>
      </c>
      <c r="L3" s="93">
        <f>SUM(L7:L58)</f>
        <v>135114.36642836288</v>
      </c>
      <c r="M3" s="93">
        <f>SUM(M7:M71)</f>
        <v>155478.49358508547</v>
      </c>
      <c r="N3" s="93"/>
      <c r="O3" s="93">
        <f>SUM(O7:O24)</f>
        <v>16025494.044372622</v>
      </c>
      <c r="P3" s="93">
        <f>SUM(P7:P37)</f>
        <v>22057964.627804395</v>
      </c>
      <c r="Q3" s="93">
        <f>SUM(Q7:Q50)</f>
        <v>30554985.865017019</v>
      </c>
      <c r="R3" s="94">
        <f>SUM(R7:R63)</f>
        <v>41988290.116363019</v>
      </c>
      <c r="S3" s="5"/>
      <c r="T3" s="5"/>
    </row>
    <row r="4" spans="2:27" ht="16" thickBot="1" x14ac:dyDescent="0.4">
      <c r="H4" s="95"/>
      <c r="I4" s="96"/>
      <c r="J4" s="16"/>
      <c r="K4" s="16"/>
      <c r="L4" s="16"/>
      <c r="M4" s="16"/>
      <c r="N4" s="16"/>
      <c r="O4" s="16"/>
      <c r="P4" s="16"/>
      <c r="Q4" s="16"/>
      <c r="R4" s="17"/>
      <c r="S4" s="5"/>
      <c r="T4" s="5"/>
    </row>
    <row r="5" spans="2:27" x14ac:dyDescent="0.35">
      <c r="B5" s="12"/>
      <c r="C5" s="13"/>
      <c r="D5" s="68"/>
      <c r="E5" s="69" t="s">
        <v>4</v>
      </c>
      <c r="F5" s="70">
        <f>SUM(F7:F19)+SUM(F20:F32)/1.05^(2)+SUM(F33:F45)/1.05^(12)+SUM(F46:F58)/1.05^(22)+SUM(F59:F71)/1.05^(32)</f>
        <v>722484515.490942</v>
      </c>
      <c r="G5" s="68"/>
      <c r="H5" s="13"/>
      <c r="I5" s="128" t="s">
        <v>5</v>
      </c>
      <c r="J5" s="71" t="s">
        <v>6</v>
      </c>
      <c r="K5" s="72"/>
      <c r="L5" s="72"/>
      <c r="M5" s="72"/>
      <c r="N5" s="130" t="s">
        <v>7</v>
      </c>
      <c r="O5" s="73" t="s">
        <v>8</v>
      </c>
      <c r="P5" s="74"/>
      <c r="Q5" s="74"/>
      <c r="R5" s="75"/>
      <c r="S5" s="97"/>
      <c r="T5" s="98" t="s">
        <v>9</v>
      </c>
      <c r="U5" s="99"/>
      <c r="V5" s="13"/>
      <c r="W5" s="13"/>
      <c r="X5" s="13"/>
      <c r="Y5" s="13"/>
      <c r="Z5" s="13"/>
      <c r="AA5" s="100"/>
    </row>
    <row r="6" spans="2:27" x14ac:dyDescent="0.35">
      <c r="B6" s="76" t="s">
        <v>10</v>
      </c>
      <c r="C6" s="77" t="s">
        <v>11</v>
      </c>
      <c r="D6" s="77" t="s">
        <v>12</v>
      </c>
      <c r="E6" s="77" t="s">
        <v>13</v>
      </c>
      <c r="F6" s="78" t="s">
        <v>14</v>
      </c>
      <c r="G6" s="78" t="s">
        <v>15</v>
      </c>
      <c r="H6" s="78" t="s">
        <v>16</v>
      </c>
      <c r="I6" s="129"/>
      <c r="J6" s="79">
        <v>2020</v>
      </c>
      <c r="K6" s="79">
        <v>2030</v>
      </c>
      <c r="L6" s="79">
        <v>2040</v>
      </c>
      <c r="M6" s="79">
        <v>2050</v>
      </c>
      <c r="N6" s="131"/>
      <c r="O6" s="80">
        <v>2020</v>
      </c>
      <c r="P6" s="80">
        <v>2030</v>
      </c>
      <c r="Q6" s="80">
        <v>2040</v>
      </c>
      <c r="R6" s="81">
        <v>2050</v>
      </c>
      <c r="S6" s="76"/>
      <c r="T6" s="7" t="s">
        <v>10</v>
      </c>
      <c r="U6" s="7" t="s">
        <v>11</v>
      </c>
      <c r="V6" s="7"/>
      <c r="W6" s="7">
        <v>2018</v>
      </c>
      <c r="X6" s="7">
        <v>2020</v>
      </c>
      <c r="Y6" s="7">
        <v>2030</v>
      </c>
      <c r="Z6" s="7">
        <v>2040</v>
      </c>
      <c r="AA6" s="101">
        <v>2050</v>
      </c>
    </row>
    <row r="7" spans="2:27" x14ac:dyDescent="0.35">
      <c r="B7" s="82" t="s">
        <v>17</v>
      </c>
      <c r="C7" t="s">
        <v>18</v>
      </c>
      <c r="D7" s="1">
        <v>2018</v>
      </c>
      <c r="E7" t="s">
        <v>19</v>
      </c>
      <c r="F7" s="8">
        <v>3429074.8266025591</v>
      </c>
      <c r="G7" s="8">
        <v>12271.47</v>
      </c>
      <c r="H7" s="8">
        <v>279.43472351743998</v>
      </c>
      <c r="I7" s="83">
        <v>0.23099999999999998</v>
      </c>
      <c r="J7" s="8">
        <v>2834.7095699999995</v>
      </c>
      <c r="K7" s="8">
        <v>2834.7095699999995</v>
      </c>
      <c r="L7" s="8"/>
      <c r="M7" s="8"/>
      <c r="N7" s="8">
        <v>330.52250880000003</v>
      </c>
      <c r="O7" s="8">
        <v>4055997.0510639362</v>
      </c>
      <c r="P7" s="8">
        <v>4055997.0510639362</v>
      </c>
      <c r="Q7" s="8"/>
      <c r="R7" s="84"/>
      <c r="S7" s="102"/>
      <c r="T7" t="s">
        <v>17</v>
      </c>
      <c r="U7" t="s">
        <v>18</v>
      </c>
      <c r="V7" s="5" t="s">
        <v>19</v>
      </c>
      <c r="W7" s="5">
        <f>G7</f>
        <v>12271.47</v>
      </c>
      <c r="X7" s="5">
        <f t="shared" ref="X7:X17" si="1">G7+G20</f>
        <v>12271.470535630402</v>
      </c>
      <c r="Y7" s="5">
        <f t="shared" ref="Y7:Y19" si="2">G7+G20+G33</f>
        <v>12271.470535630402</v>
      </c>
      <c r="Z7" s="5">
        <f>G20+G33+G46</f>
        <v>28223.988312960002</v>
      </c>
      <c r="AA7" s="103">
        <f>G33+G46+G59</f>
        <v>37255.664573107213</v>
      </c>
    </row>
    <row r="8" spans="2:27" x14ac:dyDescent="0.35">
      <c r="B8" s="82" t="s">
        <v>20</v>
      </c>
      <c r="C8" t="s">
        <v>21</v>
      </c>
      <c r="D8" s="1">
        <v>2018</v>
      </c>
      <c r="E8" t="s">
        <v>22</v>
      </c>
      <c r="F8" s="8">
        <v>6686709.3586083837</v>
      </c>
      <c r="G8" s="8">
        <v>4145.5</v>
      </c>
      <c r="H8" s="8">
        <v>1613.0043079504001</v>
      </c>
      <c r="I8" s="83">
        <v>0.36549999999999999</v>
      </c>
      <c r="J8" s="8">
        <v>1515.1802499999999</v>
      </c>
      <c r="K8" s="8">
        <v>1515.1802499999999</v>
      </c>
      <c r="L8" s="8">
        <v>1515.1802499999999</v>
      </c>
      <c r="M8" s="8">
        <v>1515.1802499999999</v>
      </c>
      <c r="N8" s="8">
        <v>402.68658988799996</v>
      </c>
      <c r="O8" s="8">
        <v>1669337.2583807039</v>
      </c>
      <c r="P8" s="8">
        <v>1669337.2583807039</v>
      </c>
      <c r="Q8" s="8">
        <v>1669337.2583807039</v>
      </c>
      <c r="R8" s="84">
        <v>1669337.2583807039</v>
      </c>
      <c r="S8" s="102"/>
      <c r="T8" t="s">
        <v>20</v>
      </c>
      <c r="U8" t="s">
        <v>21</v>
      </c>
      <c r="V8" s="5" t="s">
        <v>22</v>
      </c>
      <c r="W8" s="5">
        <f t="shared" ref="W8:W17" si="3">G8</f>
        <v>4145.5</v>
      </c>
      <c r="X8" s="5">
        <f t="shared" si="1"/>
        <v>4145.5004610869919</v>
      </c>
      <c r="Y8" s="5">
        <f t="shared" si="2"/>
        <v>7223.1191999999082</v>
      </c>
      <c r="Z8" s="5">
        <f>G8+G21+G34+G47</f>
        <v>7223.1195741282554</v>
      </c>
      <c r="AA8" s="103">
        <f>G8+G21+G34+G47+G60</f>
        <v>11877.343449739781</v>
      </c>
    </row>
    <row r="9" spans="2:27" x14ac:dyDescent="0.35">
      <c r="B9" s="82" t="s">
        <v>23</v>
      </c>
      <c r="C9" t="s">
        <v>24</v>
      </c>
      <c r="D9" s="1">
        <v>2018</v>
      </c>
      <c r="E9" t="s">
        <v>25</v>
      </c>
      <c r="F9" s="8">
        <v>7417317.7082693037</v>
      </c>
      <c r="G9" s="8">
        <v>13403.16</v>
      </c>
      <c r="H9" s="8">
        <v>553.40066881760004</v>
      </c>
      <c r="I9" s="83">
        <v>0.29749999999999999</v>
      </c>
      <c r="J9" s="8">
        <v>3987.4400999999998</v>
      </c>
      <c r="K9" s="8">
        <v>3987.4400999999998</v>
      </c>
      <c r="L9" s="8"/>
      <c r="M9" s="8"/>
      <c r="N9" s="8">
        <v>312.16014719999998</v>
      </c>
      <c r="O9" s="8">
        <v>4183932.3985451516</v>
      </c>
      <c r="P9" s="8">
        <v>4183932.3985451516</v>
      </c>
      <c r="Q9" s="8"/>
      <c r="R9" s="84"/>
      <c r="S9" s="102"/>
      <c r="T9" t="s">
        <v>23</v>
      </c>
      <c r="U9" t="s">
        <v>24</v>
      </c>
      <c r="V9" s="5" t="s">
        <v>25</v>
      </c>
      <c r="W9" s="5">
        <f t="shared" si="3"/>
        <v>13403.16</v>
      </c>
      <c r="X9" s="5">
        <f t="shared" si="1"/>
        <v>17692.171200000001</v>
      </c>
      <c r="Y9" s="5">
        <f t="shared" si="2"/>
        <v>21685.110825409029</v>
      </c>
      <c r="Z9" s="5">
        <f>G22+G35+G48</f>
        <v>30826.838771055864</v>
      </c>
      <c r="AA9" s="103">
        <f>G35+G48+G61</f>
        <v>40691.427610521605</v>
      </c>
    </row>
    <row r="10" spans="2:27" x14ac:dyDescent="0.35">
      <c r="B10" s="82" t="s">
        <v>26</v>
      </c>
      <c r="C10" t="s">
        <v>27</v>
      </c>
      <c r="D10" s="1">
        <v>2018</v>
      </c>
      <c r="E10" t="s">
        <v>28</v>
      </c>
      <c r="F10" s="8">
        <v>11866748.336114556</v>
      </c>
      <c r="G10" s="8">
        <v>19287.36</v>
      </c>
      <c r="H10" s="8">
        <v>615.26037446880002</v>
      </c>
      <c r="I10" s="83">
        <v>0.48449999999999993</v>
      </c>
      <c r="J10" s="8">
        <v>9344.725919999999</v>
      </c>
      <c r="K10" s="8">
        <v>9344.725919999999</v>
      </c>
      <c r="L10" s="8">
        <v>9344.725919999999</v>
      </c>
      <c r="M10" s="8"/>
      <c r="N10" s="8">
        <v>238.802512608</v>
      </c>
      <c r="O10" s="8">
        <v>4605870.029575035</v>
      </c>
      <c r="P10" s="8">
        <v>4605870.029575035</v>
      </c>
      <c r="Q10" s="8">
        <v>4605870.029575035</v>
      </c>
      <c r="R10" s="84"/>
      <c r="S10" s="102"/>
      <c r="T10" t="s">
        <v>26</v>
      </c>
      <c r="U10" t="s">
        <v>27</v>
      </c>
      <c r="V10" s="5" t="s">
        <v>28</v>
      </c>
      <c r="W10" s="5">
        <f t="shared" si="3"/>
        <v>19287.36</v>
      </c>
      <c r="X10" s="5">
        <f t="shared" si="1"/>
        <v>19287.360580753517</v>
      </c>
      <c r="Y10" s="5">
        <f t="shared" si="2"/>
        <v>33606.296063998721</v>
      </c>
      <c r="Z10" s="5">
        <f t="shared" ref="Z10:Z15" si="4">G10+G23+G36+G49</f>
        <v>40765.057782413052</v>
      </c>
      <c r="AA10" s="103">
        <f>G23+G36+G49+G62</f>
        <v>58555.61026191774</v>
      </c>
    </row>
    <row r="11" spans="2:27" x14ac:dyDescent="0.35">
      <c r="B11" s="82" t="s">
        <v>29</v>
      </c>
      <c r="C11" t="s">
        <v>24</v>
      </c>
      <c r="D11" s="1">
        <v>2018</v>
      </c>
      <c r="E11" t="s">
        <v>30</v>
      </c>
      <c r="F11" s="8">
        <v>226407.39052851341</v>
      </c>
      <c r="G11" s="8">
        <v>718.16</v>
      </c>
      <c r="H11" s="8">
        <v>315.26037446880002</v>
      </c>
      <c r="I11" s="83">
        <v>0.32300000000000001</v>
      </c>
      <c r="J11" s="8">
        <v>231.96567999999999</v>
      </c>
      <c r="K11" s="8">
        <v>231.96567999999999</v>
      </c>
      <c r="L11" s="8">
        <v>231.96567999999999</v>
      </c>
      <c r="M11" s="8"/>
      <c r="N11" s="8">
        <v>238.802512608</v>
      </c>
      <c r="O11" s="8">
        <v>171498.41245456127</v>
      </c>
      <c r="P11" s="8">
        <v>171498.41245456127</v>
      </c>
      <c r="Q11" s="8">
        <v>171498.41245456127</v>
      </c>
      <c r="R11" s="84"/>
      <c r="S11" s="102"/>
      <c r="T11" t="s">
        <v>29</v>
      </c>
      <c r="U11" t="s">
        <v>24</v>
      </c>
      <c r="V11" s="5" t="s">
        <v>30</v>
      </c>
      <c r="W11" s="5">
        <f t="shared" si="3"/>
        <v>718.16</v>
      </c>
      <c r="X11" s="5">
        <f t="shared" si="1"/>
        <v>718.16010645588688</v>
      </c>
      <c r="Y11" s="5">
        <f t="shared" si="2"/>
        <v>1251.3219839999865</v>
      </c>
      <c r="Z11" s="5">
        <f t="shared" si="4"/>
        <v>1251.3220132884107</v>
      </c>
      <c r="AA11" s="103">
        <f>G24+G37+G50+G63</f>
        <v>2180.3034249215825</v>
      </c>
    </row>
    <row r="12" spans="2:27" x14ac:dyDescent="0.35">
      <c r="B12" s="82" t="s">
        <v>31</v>
      </c>
      <c r="C12" t="s">
        <v>32</v>
      </c>
      <c r="D12" s="1">
        <v>2018</v>
      </c>
      <c r="E12" t="s">
        <v>33</v>
      </c>
      <c r="F12" s="8">
        <v>313133991.60000002</v>
      </c>
      <c r="G12" s="8">
        <v>88787</v>
      </c>
      <c r="H12" s="8">
        <v>3526.8</v>
      </c>
      <c r="I12" s="83">
        <v>0.62</v>
      </c>
      <c r="J12" s="8">
        <v>55047.94</v>
      </c>
      <c r="K12" s="8">
        <v>55047.94</v>
      </c>
      <c r="L12" s="8">
        <v>55047.94</v>
      </c>
      <c r="M12" s="8">
        <v>55047.94</v>
      </c>
      <c r="N12" s="8"/>
      <c r="O12" s="8"/>
      <c r="P12" s="8"/>
      <c r="Q12" s="8"/>
      <c r="R12" s="84"/>
      <c r="S12" s="102"/>
      <c r="T12" t="s">
        <v>31</v>
      </c>
      <c r="U12" t="s">
        <v>32</v>
      </c>
      <c r="V12" s="5" t="s">
        <v>33</v>
      </c>
      <c r="W12" s="5">
        <f t="shared" si="3"/>
        <v>88787</v>
      </c>
      <c r="X12" s="5">
        <f t="shared" si="1"/>
        <v>88787</v>
      </c>
      <c r="Y12" s="5">
        <f t="shared" si="2"/>
        <v>88787</v>
      </c>
      <c r="Z12" s="5">
        <f t="shared" si="4"/>
        <v>88787</v>
      </c>
      <c r="AA12" s="103">
        <f>G12+G25+G38+G51+G64</f>
        <v>88787</v>
      </c>
    </row>
    <row r="13" spans="2:27" x14ac:dyDescent="0.35">
      <c r="B13" s="82" t="s">
        <v>34</v>
      </c>
      <c r="C13" t="s">
        <v>35</v>
      </c>
      <c r="D13" s="1">
        <v>2018</v>
      </c>
      <c r="E13" t="s">
        <v>36</v>
      </c>
      <c r="F13" s="8">
        <v>20751000</v>
      </c>
      <c r="G13" s="8">
        <v>6917</v>
      </c>
      <c r="H13" s="8">
        <v>3000</v>
      </c>
      <c r="I13" s="83">
        <v>0.62</v>
      </c>
      <c r="J13" s="8">
        <v>4288.54</v>
      </c>
      <c r="K13" s="8">
        <v>4288.54</v>
      </c>
      <c r="L13" s="8">
        <v>4288.54</v>
      </c>
      <c r="M13" s="8">
        <v>4288.54</v>
      </c>
      <c r="N13" s="8"/>
      <c r="O13" s="8"/>
      <c r="P13" s="8"/>
      <c r="Q13" s="8"/>
      <c r="R13" s="84"/>
      <c r="S13" s="102"/>
      <c r="T13" t="s">
        <v>34</v>
      </c>
      <c r="U13" t="s">
        <v>35</v>
      </c>
      <c r="V13" s="5" t="s">
        <v>36</v>
      </c>
      <c r="W13" s="5">
        <f t="shared" si="3"/>
        <v>6917</v>
      </c>
      <c r="X13" s="5">
        <f t="shared" si="1"/>
        <v>6917</v>
      </c>
      <c r="Y13" s="5">
        <f t="shared" si="2"/>
        <v>6917</v>
      </c>
      <c r="Z13" s="5">
        <f>G13+G26+G39+G52</f>
        <v>6917</v>
      </c>
      <c r="AA13" s="103">
        <f>G13+G26+G39+G52+G65</f>
        <v>6917</v>
      </c>
    </row>
    <row r="14" spans="2:27" x14ac:dyDescent="0.35">
      <c r="B14" s="82" t="s">
        <v>37</v>
      </c>
      <c r="C14" t="s">
        <v>38</v>
      </c>
      <c r="D14" s="1">
        <v>2018</v>
      </c>
      <c r="E14" t="s">
        <v>39</v>
      </c>
      <c r="F14" s="8">
        <v>4459125.6000000006</v>
      </c>
      <c r="G14" s="8">
        <v>1062</v>
      </c>
      <c r="H14" s="8">
        <v>4198.8</v>
      </c>
      <c r="I14" s="83">
        <v>0.62</v>
      </c>
      <c r="J14" s="8">
        <v>658.43999999999994</v>
      </c>
      <c r="K14" s="8">
        <v>658.43999999999994</v>
      </c>
      <c r="L14" s="8">
        <v>658.43999999999994</v>
      </c>
      <c r="M14" s="8">
        <v>658.43999999999994</v>
      </c>
      <c r="N14" s="8"/>
      <c r="O14" s="8"/>
      <c r="P14" s="8"/>
      <c r="Q14" s="8"/>
      <c r="R14" s="84"/>
      <c r="S14" s="102"/>
      <c r="T14" t="s">
        <v>37</v>
      </c>
      <c r="U14" t="s">
        <v>38</v>
      </c>
      <c r="V14" s="5" t="s">
        <v>39</v>
      </c>
      <c r="W14" s="5">
        <f t="shared" si="3"/>
        <v>1062</v>
      </c>
      <c r="X14" s="5">
        <f t="shared" si="1"/>
        <v>1062</v>
      </c>
      <c r="Y14" s="5">
        <f t="shared" si="2"/>
        <v>1062</v>
      </c>
      <c r="Z14" s="5">
        <f t="shared" si="4"/>
        <v>1062</v>
      </c>
      <c r="AA14" s="103">
        <f>G14+G27+G40+G53+G66</f>
        <v>1062</v>
      </c>
    </row>
    <row r="15" spans="2:27" x14ac:dyDescent="0.35">
      <c r="B15" s="82" t="s">
        <v>40</v>
      </c>
      <c r="C15" t="s">
        <v>41</v>
      </c>
      <c r="D15" s="1">
        <v>2018</v>
      </c>
      <c r="E15" t="s">
        <v>42</v>
      </c>
      <c r="F15" s="8">
        <v>21603731.379000001</v>
      </c>
      <c r="G15" s="8">
        <v>11378.17</v>
      </c>
      <c r="H15" s="8">
        <v>1898.7</v>
      </c>
      <c r="I15" s="83">
        <v>0.33</v>
      </c>
      <c r="J15" s="8">
        <v>3754.7961</v>
      </c>
      <c r="K15" s="8">
        <v>3754.7961</v>
      </c>
      <c r="L15" s="8">
        <v>3754.7961</v>
      </c>
      <c r="M15" s="8"/>
      <c r="N15" s="8"/>
      <c r="O15" s="8"/>
      <c r="P15" s="8"/>
      <c r="Q15" s="8"/>
      <c r="R15" s="84"/>
      <c r="S15" s="102"/>
      <c r="T15" t="s">
        <v>40</v>
      </c>
      <c r="U15" t="s">
        <v>41</v>
      </c>
      <c r="V15" s="5" t="s">
        <v>42</v>
      </c>
      <c r="W15" s="5">
        <f t="shared" si="3"/>
        <v>11378.17</v>
      </c>
      <c r="X15" s="5">
        <f t="shared" si="1"/>
        <v>11378.170206905554</v>
      </c>
      <c r="Y15" s="5">
        <f t="shared" si="2"/>
        <v>11378.170885925938</v>
      </c>
      <c r="Z15" s="5">
        <f t="shared" si="4"/>
        <v>11378.171080791033</v>
      </c>
      <c r="AA15" s="103">
        <f>G28+G41+G54+G67</f>
        <v>34543.643040375267</v>
      </c>
    </row>
    <row r="16" spans="2:27" x14ac:dyDescent="0.35">
      <c r="B16" s="82" t="s">
        <v>43</v>
      </c>
      <c r="C16" t="s">
        <v>44</v>
      </c>
      <c r="D16" s="1">
        <v>2018</v>
      </c>
      <c r="E16" t="s">
        <v>45</v>
      </c>
      <c r="F16" s="8">
        <v>0</v>
      </c>
      <c r="G16" s="8">
        <v>0</v>
      </c>
      <c r="H16" s="8">
        <v>3142.6</v>
      </c>
      <c r="I16" s="83">
        <v>0.24</v>
      </c>
      <c r="J16" s="8">
        <v>0</v>
      </c>
      <c r="K16" s="8">
        <v>0</v>
      </c>
      <c r="L16" s="8"/>
      <c r="M16" s="8"/>
      <c r="N16" s="8"/>
      <c r="O16" s="8"/>
      <c r="P16" s="8"/>
      <c r="Q16" s="8"/>
      <c r="R16" s="84"/>
      <c r="S16" s="102"/>
      <c r="T16" t="s">
        <v>43</v>
      </c>
      <c r="U16" t="s">
        <v>44</v>
      </c>
      <c r="V16" s="5" t="s">
        <v>45</v>
      </c>
      <c r="W16" s="5">
        <f t="shared" si="3"/>
        <v>0</v>
      </c>
      <c r="X16" s="5">
        <f t="shared" si="1"/>
        <v>5006.3907773293149</v>
      </c>
      <c r="Y16" s="5">
        <f t="shared" si="2"/>
        <v>6608.4357630582526</v>
      </c>
      <c r="Z16" s="5">
        <f>G29+G42+G55</f>
        <v>8723.1358011732191</v>
      </c>
      <c r="AA16" s="103">
        <f>G42+G55+G68</f>
        <v>11514.544369117822</v>
      </c>
    </row>
    <row r="17" spans="2:27" x14ac:dyDescent="0.35">
      <c r="B17" s="82" t="s">
        <v>46</v>
      </c>
      <c r="C17" t="s">
        <v>47</v>
      </c>
      <c r="D17" s="1">
        <v>2018</v>
      </c>
      <c r="E17" t="s">
        <v>48</v>
      </c>
      <c r="F17" s="8">
        <v>15087383.999999998</v>
      </c>
      <c r="G17" s="8">
        <v>1990</v>
      </c>
      <c r="H17" s="8">
        <v>7581.5999999999995</v>
      </c>
      <c r="I17" s="83">
        <v>0.29749999999999999</v>
      </c>
      <c r="J17" s="8">
        <v>592.02499999999998</v>
      </c>
      <c r="K17" s="8">
        <v>592.02499999999998</v>
      </c>
      <c r="L17" s="8">
        <v>592.02499999999998</v>
      </c>
      <c r="M17" s="8">
        <v>592.02499999999998</v>
      </c>
      <c r="N17" s="8"/>
      <c r="O17" s="8"/>
      <c r="P17" s="8"/>
      <c r="Q17" s="8"/>
      <c r="R17" s="84"/>
      <c r="S17" s="102"/>
      <c r="T17" t="s">
        <v>46</v>
      </c>
      <c r="U17" t="s">
        <v>47</v>
      </c>
      <c r="V17" s="5" t="s">
        <v>48</v>
      </c>
      <c r="W17" s="5">
        <f t="shared" si="3"/>
        <v>1990</v>
      </c>
      <c r="X17" s="5">
        <f t="shared" si="1"/>
        <v>1990</v>
      </c>
      <c r="Y17" s="5">
        <f t="shared" si="2"/>
        <v>1990</v>
      </c>
      <c r="Z17" s="5">
        <f>G17+G30+G43+G56</f>
        <v>1990</v>
      </c>
      <c r="AA17" s="103">
        <f>G17+G30+G43+G56+G69</f>
        <v>1990</v>
      </c>
    </row>
    <row r="18" spans="2:27" x14ac:dyDescent="0.35">
      <c r="B18" s="82" t="s">
        <v>49</v>
      </c>
      <c r="C18" t="s">
        <v>50</v>
      </c>
      <c r="D18" s="1">
        <v>2018</v>
      </c>
      <c r="E18" t="s">
        <v>51</v>
      </c>
      <c r="F18" s="8">
        <v>2793.6000000000004</v>
      </c>
      <c r="G18" s="8">
        <v>6</v>
      </c>
      <c r="H18" s="8">
        <v>465.6</v>
      </c>
      <c r="I18" s="83">
        <v>0.28999999999999998</v>
      </c>
      <c r="J18" s="8">
        <v>1.7399999999999998</v>
      </c>
      <c r="K18" s="8">
        <v>1.7399999999999998</v>
      </c>
      <c r="L18" s="8"/>
      <c r="M18" s="8"/>
      <c r="N18" s="8"/>
      <c r="O18" s="8"/>
      <c r="P18" s="8"/>
      <c r="Q18" s="8"/>
      <c r="R18" s="84"/>
      <c r="S18" s="102"/>
      <c r="T18" t="s">
        <v>49</v>
      </c>
      <c r="U18" t="s">
        <v>50</v>
      </c>
      <c r="V18" s="5" t="s">
        <v>51</v>
      </c>
      <c r="W18" s="5">
        <f>G18</f>
        <v>6</v>
      </c>
      <c r="X18" s="5">
        <f>G18+G31</f>
        <v>912.50118158554892</v>
      </c>
      <c r="Y18" s="5">
        <f t="shared" si="2"/>
        <v>52272.000000000007</v>
      </c>
      <c r="Z18" s="5">
        <f>G31+G44</f>
        <v>52266.000000000007</v>
      </c>
      <c r="AA18" s="103">
        <f>G70+G57</f>
        <v>91078.732800000013</v>
      </c>
    </row>
    <row r="19" spans="2:27" ht="16" thickBot="1" x14ac:dyDescent="0.4">
      <c r="B19" s="82" t="s">
        <v>52</v>
      </c>
      <c r="C19" t="s">
        <v>53</v>
      </c>
      <c r="D19" s="1">
        <v>2018</v>
      </c>
      <c r="E19" t="s">
        <v>54</v>
      </c>
      <c r="F19" s="8">
        <v>12493.44</v>
      </c>
      <c r="G19" s="8">
        <v>7.23</v>
      </c>
      <c r="H19" s="8">
        <v>1728</v>
      </c>
      <c r="I19" s="83">
        <v>0.28999999999999998</v>
      </c>
      <c r="J19" s="8">
        <v>2.0966999999999998</v>
      </c>
      <c r="K19" s="8">
        <v>2.0966999999999998</v>
      </c>
      <c r="L19" s="8"/>
      <c r="M19" s="8"/>
      <c r="N19" s="8"/>
      <c r="O19" s="8"/>
      <c r="P19" s="8"/>
      <c r="Q19" s="8"/>
      <c r="R19" s="84"/>
      <c r="S19" s="104"/>
      <c r="T19" s="15" t="s">
        <v>52</v>
      </c>
      <c r="U19" s="15" t="s">
        <v>53</v>
      </c>
      <c r="V19" s="16" t="s">
        <v>54</v>
      </c>
      <c r="W19" s="16">
        <f>G19</f>
        <v>7.23</v>
      </c>
      <c r="X19" s="16">
        <f>G19+G32</f>
        <v>7.23</v>
      </c>
      <c r="Y19" s="16">
        <f t="shared" si="2"/>
        <v>3484.7739535878864</v>
      </c>
      <c r="Z19" s="16">
        <f>G45+G58</f>
        <v>4599.9355852315075</v>
      </c>
      <c r="AA19" s="17">
        <f>G71+G58</f>
        <v>6071.9155200000014</v>
      </c>
    </row>
    <row r="20" spans="2:27" x14ac:dyDescent="0.35">
      <c r="B20" s="82" t="s">
        <v>17</v>
      </c>
      <c r="C20" t="s">
        <v>18</v>
      </c>
      <c r="D20" s="1">
        <v>2020</v>
      </c>
      <c r="E20" t="s">
        <v>19</v>
      </c>
      <c r="F20" s="8">
        <f>G20*H20</f>
        <v>1.1700496487271421</v>
      </c>
      <c r="G20" s="85">
        <v>5.3563040182912601E-4</v>
      </c>
      <c r="H20" s="8">
        <v>2184.43472351744</v>
      </c>
      <c r="I20" s="83">
        <v>0.23099999999999998</v>
      </c>
      <c r="J20" s="8">
        <f>I20*G20</f>
        <v>1.237306228225281E-4</v>
      </c>
      <c r="K20" s="8">
        <f>I20*G20</f>
        <v>1.237306228225281E-4</v>
      </c>
      <c r="L20" s="8"/>
      <c r="M20" s="8"/>
      <c r="N20" s="8">
        <v>330.52250880000003</v>
      </c>
      <c r="O20" s="8">
        <f>N20*G20</f>
        <v>0.17703790420211485</v>
      </c>
      <c r="P20" s="8">
        <f>N20*G20</f>
        <v>0.17703790420211485</v>
      </c>
      <c r="Q20" s="8"/>
      <c r="R20" s="84"/>
      <c r="S20" s="8"/>
      <c r="T20" s="8"/>
    </row>
    <row r="21" spans="2:27" x14ac:dyDescent="0.35">
      <c r="B21" s="82" t="s">
        <v>20</v>
      </c>
      <c r="C21" t="s">
        <v>21</v>
      </c>
      <c r="D21" s="1">
        <v>2020</v>
      </c>
      <c r="E21" t="s">
        <v>22</v>
      </c>
      <c r="F21" s="8">
        <f t="shared" ref="F21:F71" si="5">G21*H21</f>
        <v>1.8971102974929424</v>
      </c>
      <c r="G21" s="85">
        <v>4.610869922478416E-4</v>
      </c>
      <c r="H21" s="8">
        <v>4114.4303122592</v>
      </c>
      <c r="I21" s="83">
        <v>0.36549999999999999</v>
      </c>
      <c r="J21" s="8">
        <f t="shared" ref="J21:J32" si="6">I21*G21</f>
        <v>1.685272956665861E-4</v>
      </c>
      <c r="K21" s="8">
        <f t="shared" ref="K21:K45" si="7">I21*G21</f>
        <v>1.685272956665861E-4</v>
      </c>
      <c r="L21" s="8">
        <f>I21*G21</f>
        <v>1.685272956665861E-4</v>
      </c>
      <c r="M21" s="8">
        <f>I21*G21</f>
        <v>1.685272956665861E-4</v>
      </c>
      <c r="N21" s="8">
        <v>402.68658988799996</v>
      </c>
      <c r="O21" s="8">
        <f t="shared" ref="O21:O24" si="8">N21*G21</f>
        <v>0.18567354854999801</v>
      </c>
      <c r="P21" s="8">
        <f>N21*G21</f>
        <v>0.18567354854999801</v>
      </c>
      <c r="Q21" s="8">
        <f>N21*G21</f>
        <v>0.18567354854999801</v>
      </c>
      <c r="R21" s="84">
        <f>N21*G21</f>
        <v>0.18567354854999801</v>
      </c>
      <c r="S21" s="9"/>
      <c r="T21" s="9" t="s">
        <v>55</v>
      </c>
      <c r="U21" s="10" t="s">
        <v>2</v>
      </c>
      <c r="V21" s="6"/>
      <c r="W21" s="7">
        <v>2018</v>
      </c>
      <c r="X21" s="7">
        <v>2020</v>
      </c>
      <c r="Y21" s="7">
        <v>2030</v>
      </c>
      <c r="Z21" s="7">
        <v>2040</v>
      </c>
      <c r="AA21" s="7">
        <v>2050</v>
      </c>
    </row>
    <row r="22" spans="2:27" x14ac:dyDescent="0.35">
      <c r="B22" s="82" t="s">
        <v>23</v>
      </c>
      <c r="C22" t="s">
        <v>24</v>
      </c>
      <c r="D22" s="1">
        <v>2020</v>
      </c>
      <c r="E22" t="s">
        <v>25</v>
      </c>
      <c r="F22" s="8">
        <f t="shared" si="5"/>
        <v>8361725.9030446196</v>
      </c>
      <c r="G22" s="85">
        <v>4289.0112000000008</v>
      </c>
      <c r="H22" s="8">
        <v>1949.5696124655999</v>
      </c>
      <c r="I22" s="83">
        <v>0.29749999999999999</v>
      </c>
      <c r="J22" s="8">
        <f t="shared" si="6"/>
        <v>1275.9808320000002</v>
      </c>
      <c r="K22" s="8">
        <f t="shared" si="7"/>
        <v>1275.9808320000002</v>
      </c>
      <c r="L22" s="8"/>
      <c r="M22" s="8"/>
      <c r="N22" s="8">
        <v>312.16014719999998</v>
      </c>
      <c r="O22" s="8">
        <f t="shared" si="8"/>
        <v>1338858.3675344489</v>
      </c>
      <c r="P22" s="8">
        <f t="shared" ref="P22" si="9">N22*G22</f>
        <v>1338858.3675344489</v>
      </c>
      <c r="Q22" s="8"/>
      <c r="R22" s="84"/>
      <c r="S22" s="67">
        <f>Scenario_Control!F4</f>
        <v>0.32</v>
      </c>
      <c r="T22" t="s">
        <v>17</v>
      </c>
      <c r="U22" t="s">
        <v>18</v>
      </c>
      <c r="V22" s="5" t="s">
        <v>19</v>
      </c>
      <c r="W22" s="5">
        <v>12271.47</v>
      </c>
      <c r="X22" s="5">
        <f>W22*(1+$S$22)</f>
        <v>16198.340399999999</v>
      </c>
      <c r="Y22" s="5">
        <f t="shared" ref="Y22:AA22" si="10">X22*(1+$S$22)</f>
        <v>21381.809327999999</v>
      </c>
      <c r="Z22" s="5">
        <f t="shared" si="10"/>
        <v>28223.988312960002</v>
      </c>
      <c r="AA22" s="5">
        <f t="shared" si="10"/>
        <v>37255.664573107206</v>
      </c>
    </row>
    <row r="23" spans="2:27" x14ac:dyDescent="0.35">
      <c r="B23" s="82" t="s">
        <v>26</v>
      </c>
      <c r="C23" t="s">
        <v>27</v>
      </c>
      <c r="D23" s="1">
        <v>2020</v>
      </c>
      <c r="E23" t="s">
        <v>28</v>
      </c>
      <c r="F23" s="8">
        <f t="shared" si="5"/>
        <v>1.0911653491053275</v>
      </c>
      <c r="G23" s="85">
        <v>5.8075351562503067E-4</v>
      </c>
      <c r="H23" s="8">
        <v>1878.8785943568</v>
      </c>
      <c r="I23" s="83">
        <v>0.48449999999999993</v>
      </c>
      <c r="J23" s="8">
        <f t="shared" si="6"/>
        <v>2.8137507832032732E-4</v>
      </c>
      <c r="K23" s="8">
        <f t="shared" si="7"/>
        <v>2.8137507832032732E-4</v>
      </c>
      <c r="L23" s="8">
        <f>I23*G23</f>
        <v>2.8137507832032732E-4</v>
      </c>
      <c r="M23" s="8"/>
      <c r="N23" s="8">
        <v>238.802512608</v>
      </c>
      <c r="O23" s="8">
        <f t="shared" si="8"/>
        <v>0.13868539873718672</v>
      </c>
      <c r="P23" s="8">
        <f>N23*G23</f>
        <v>0.13868539873718672</v>
      </c>
      <c r="Q23" s="8">
        <f>N23*G23</f>
        <v>0.13868539873718672</v>
      </c>
      <c r="R23" s="84"/>
      <c r="S23" s="8"/>
      <c r="T23" t="s">
        <v>20</v>
      </c>
      <c r="U23" t="s">
        <v>21</v>
      </c>
      <c r="V23" s="5" t="s">
        <v>22</v>
      </c>
      <c r="W23" s="5">
        <v>4145.5</v>
      </c>
      <c r="X23" s="5">
        <f t="shared" ref="X23:AA26" si="11">W23*(1+$S$22)</f>
        <v>5472.06</v>
      </c>
      <c r="Y23" s="5">
        <f t="shared" si="11"/>
        <v>7223.119200000001</v>
      </c>
      <c r="Z23" s="5">
        <f t="shared" si="11"/>
        <v>9534.5173440000017</v>
      </c>
      <c r="AA23" s="5">
        <f t="shared" si="11"/>
        <v>12585.562894080003</v>
      </c>
    </row>
    <row r="24" spans="2:27" x14ac:dyDescent="0.35">
      <c r="B24" s="82" t="s">
        <v>29</v>
      </c>
      <c r="C24" t="s">
        <v>24</v>
      </c>
      <c r="D24" s="1">
        <v>2020</v>
      </c>
      <c r="E24" t="s">
        <v>30</v>
      </c>
      <c r="F24" s="8">
        <f t="shared" si="5"/>
        <v>9.6010285672534362E-2</v>
      </c>
      <c r="G24" s="85">
        <v>1.0645588693787193E-4</v>
      </c>
      <c r="H24" s="8">
        <v>901.87859435680002</v>
      </c>
      <c r="I24" s="83">
        <v>0.32300000000000001</v>
      </c>
      <c r="J24" s="8">
        <f t="shared" si="6"/>
        <v>3.4385251480932633E-5</v>
      </c>
      <c r="K24" s="8">
        <f t="shared" si="7"/>
        <v>3.4385251480932633E-5</v>
      </c>
      <c r="L24" s="8">
        <f t="shared" ref="L24:L28" si="12">I24*G24</f>
        <v>3.4385251480932633E-5</v>
      </c>
      <c r="M24" s="8"/>
      <c r="N24" s="8">
        <v>238.802512608</v>
      </c>
      <c r="O24" s="8">
        <f t="shared" si="8"/>
        <v>2.5421933282676983E-2</v>
      </c>
      <c r="P24" s="8">
        <f>N24*G24</f>
        <v>2.5421933282676983E-2</v>
      </c>
      <c r="Q24" s="8">
        <f>N24*G24</f>
        <v>2.5421933282676983E-2</v>
      </c>
      <c r="R24" s="84"/>
      <c r="S24" s="8"/>
      <c r="T24" t="s">
        <v>23</v>
      </c>
      <c r="U24" t="s">
        <v>24</v>
      </c>
      <c r="V24" s="5" t="s">
        <v>25</v>
      </c>
      <c r="W24" s="5">
        <v>13403.16</v>
      </c>
      <c r="X24" s="5">
        <f t="shared" si="11"/>
        <v>17692.171200000001</v>
      </c>
      <c r="Y24" s="5">
        <f t="shared" si="11"/>
        <v>23353.665984000003</v>
      </c>
      <c r="Z24" s="5">
        <f t="shared" si="11"/>
        <v>30826.839098880006</v>
      </c>
      <c r="AA24" s="5">
        <f t="shared" si="11"/>
        <v>40691.427610521612</v>
      </c>
    </row>
    <row r="25" spans="2:27" x14ac:dyDescent="0.35">
      <c r="B25" s="82" t="s">
        <v>31</v>
      </c>
      <c r="C25" t="s">
        <v>32</v>
      </c>
      <c r="D25" s="1">
        <v>2020</v>
      </c>
      <c r="E25" t="s">
        <v>33</v>
      </c>
      <c r="F25" s="8">
        <f t="shared" si="5"/>
        <v>-2.6966301358220673E-9</v>
      </c>
      <c r="G25" s="85">
        <v>-4.1706055489221247E-13</v>
      </c>
      <c r="H25" s="8">
        <v>6465.8</v>
      </c>
      <c r="I25" s="83">
        <v>0.62</v>
      </c>
      <c r="J25" s="8">
        <f t="shared" si="6"/>
        <v>-2.5857754403317172E-13</v>
      </c>
      <c r="K25" s="8">
        <f t="shared" si="7"/>
        <v>-2.5857754403317172E-13</v>
      </c>
      <c r="L25" s="8">
        <f t="shared" si="12"/>
        <v>-2.5857754403317172E-13</v>
      </c>
      <c r="M25" s="8">
        <f>I25*G25</f>
        <v>-2.5857754403317172E-13</v>
      </c>
      <c r="N25" s="8"/>
      <c r="O25" s="8"/>
      <c r="P25" s="8"/>
      <c r="Q25" s="8"/>
      <c r="R25" s="84"/>
      <c r="S25" s="8"/>
      <c r="T25" t="s">
        <v>26</v>
      </c>
      <c r="U25" t="s">
        <v>27</v>
      </c>
      <c r="V25" s="5" t="s">
        <v>28</v>
      </c>
      <c r="W25" s="5">
        <v>19287.36</v>
      </c>
      <c r="X25" s="5">
        <f t="shared" si="11"/>
        <v>25459.315200000001</v>
      </c>
      <c r="Y25" s="5">
        <f t="shared" si="11"/>
        <v>33606.296064000002</v>
      </c>
      <c r="Z25" s="5">
        <f t="shared" si="11"/>
        <v>44360.310804480003</v>
      </c>
      <c r="AA25" s="5">
        <f t="shared" si="11"/>
        <v>58555.610261913607</v>
      </c>
    </row>
    <row r="26" spans="2:27" x14ac:dyDescent="0.35">
      <c r="B26" s="82" t="s">
        <v>34</v>
      </c>
      <c r="C26" t="s">
        <v>35</v>
      </c>
      <c r="D26" s="1">
        <v>2020</v>
      </c>
      <c r="E26" t="s">
        <v>36</v>
      </c>
      <c r="F26" s="8">
        <f t="shared" si="5"/>
        <v>0</v>
      </c>
      <c r="G26" s="85">
        <v>0</v>
      </c>
      <c r="H26" s="8">
        <v>6026.8</v>
      </c>
      <c r="I26" s="83">
        <v>0.62</v>
      </c>
      <c r="J26" s="8">
        <f t="shared" si="6"/>
        <v>0</v>
      </c>
      <c r="K26" s="8">
        <f t="shared" si="7"/>
        <v>0</v>
      </c>
      <c r="L26" s="8">
        <f t="shared" si="12"/>
        <v>0</v>
      </c>
      <c r="M26" s="8">
        <f t="shared" ref="M26:M27" si="13">I26*G26</f>
        <v>0</v>
      </c>
      <c r="N26" s="8"/>
      <c r="O26" s="8"/>
      <c r="P26" s="8"/>
      <c r="Q26" s="8"/>
      <c r="R26" s="84"/>
      <c r="S26" s="8"/>
      <c r="T26" t="s">
        <v>29</v>
      </c>
      <c r="U26" t="s">
        <v>24</v>
      </c>
      <c r="V26" s="5" t="s">
        <v>30</v>
      </c>
      <c r="W26" s="5">
        <v>718.16</v>
      </c>
      <c r="X26" s="5">
        <f t="shared" si="11"/>
        <v>947.97119999999995</v>
      </c>
      <c r="Y26" s="5">
        <f t="shared" si="11"/>
        <v>1251.3219839999999</v>
      </c>
      <c r="Z26" s="5">
        <f t="shared" si="11"/>
        <v>1651.7450188800001</v>
      </c>
      <c r="AA26" s="5">
        <f t="shared" si="11"/>
        <v>2180.3034249216003</v>
      </c>
    </row>
    <row r="27" spans="2:27" x14ac:dyDescent="0.35">
      <c r="B27" s="82" t="s">
        <v>37</v>
      </c>
      <c r="C27" t="s">
        <v>38</v>
      </c>
      <c r="D27" s="1">
        <v>2020</v>
      </c>
      <c r="E27" t="s">
        <v>39</v>
      </c>
      <c r="F27" s="8">
        <f t="shared" si="5"/>
        <v>0</v>
      </c>
      <c r="G27" s="85">
        <v>0</v>
      </c>
      <c r="H27" s="8">
        <v>7025.8</v>
      </c>
      <c r="I27" s="83">
        <v>0.62</v>
      </c>
      <c r="J27" s="8">
        <f t="shared" si="6"/>
        <v>0</v>
      </c>
      <c r="K27" s="8">
        <f t="shared" si="7"/>
        <v>0</v>
      </c>
      <c r="L27" s="8">
        <f t="shared" si="12"/>
        <v>0</v>
      </c>
      <c r="M27" s="8">
        <f t="shared" si="13"/>
        <v>0</v>
      </c>
      <c r="N27" s="8"/>
      <c r="O27" s="8"/>
      <c r="P27" s="8"/>
      <c r="Q27" s="8"/>
      <c r="R27" s="84"/>
      <c r="S27" s="67">
        <f>Scenario_Control!G4</f>
        <v>0</v>
      </c>
      <c r="T27" s="108" t="s">
        <v>31</v>
      </c>
      <c r="U27" s="108" t="s">
        <v>32</v>
      </c>
      <c r="V27" s="109" t="s">
        <v>33</v>
      </c>
      <c r="W27" s="109">
        <v>88787</v>
      </c>
      <c r="X27" s="109">
        <f>W27*(1+$S$27)</f>
        <v>88787</v>
      </c>
      <c r="Y27" s="109">
        <f>X27*(1+$S$27)</f>
        <v>88787</v>
      </c>
      <c r="Z27" s="109">
        <f t="shared" ref="Z27:AA27" si="14">Y27*(1+$S$27)</f>
        <v>88787</v>
      </c>
      <c r="AA27" s="109">
        <f t="shared" si="14"/>
        <v>88787</v>
      </c>
    </row>
    <row r="28" spans="2:27" x14ac:dyDescent="0.35">
      <c r="B28" s="82" t="s">
        <v>40</v>
      </c>
      <c r="C28" t="s">
        <v>41</v>
      </c>
      <c r="D28" s="1">
        <v>2020</v>
      </c>
      <c r="E28" t="s">
        <v>42</v>
      </c>
      <c r="F28" s="8">
        <f t="shared" si="5"/>
        <v>1.0571073702178491</v>
      </c>
      <c r="G28" s="85">
        <v>2.069055534343125E-4</v>
      </c>
      <c r="H28" s="8">
        <v>5109.13</v>
      </c>
      <c r="I28" s="83">
        <v>0.33</v>
      </c>
      <c r="J28" s="8">
        <f t="shared" si="6"/>
        <v>6.8278832633323128E-5</v>
      </c>
      <c r="K28" s="8">
        <f t="shared" si="7"/>
        <v>6.8278832633323128E-5</v>
      </c>
      <c r="L28" s="8">
        <f t="shared" si="12"/>
        <v>6.8278832633323128E-5</v>
      </c>
      <c r="M28" s="8"/>
      <c r="N28" s="8"/>
      <c r="O28" s="8"/>
      <c r="P28" s="8"/>
      <c r="Q28" s="8"/>
      <c r="R28" s="84"/>
      <c r="S28" s="8"/>
      <c r="T28" s="108" t="s">
        <v>34</v>
      </c>
      <c r="U28" s="108" t="s">
        <v>35</v>
      </c>
      <c r="V28" s="109" t="s">
        <v>36</v>
      </c>
      <c r="W28" s="109">
        <v>6917</v>
      </c>
      <c r="X28" s="109">
        <f>W28*(1+$S$27)</f>
        <v>6917</v>
      </c>
      <c r="Y28" s="109">
        <f t="shared" ref="X28:AA29" si="15">X28*(1+$S$27)</f>
        <v>6917</v>
      </c>
      <c r="Z28" s="109">
        <f t="shared" si="15"/>
        <v>6917</v>
      </c>
      <c r="AA28" s="109">
        <f t="shared" si="15"/>
        <v>6917</v>
      </c>
    </row>
    <row r="29" spans="2:27" x14ac:dyDescent="0.35">
      <c r="B29" s="82" t="s">
        <v>43</v>
      </c>
      <c r="C29" t="s">
        <v>44</v>
      </c>
      <c r="D29" s="1">
        <v>2020</v>
      </c>
      <c r="E29" t="s">
        <v>45</v>
      </c>
      <c r="F29" s="8">
        <f t="shared" si="5"/>
        <v>37322593.181082271</v>
      </c>
      <c r="G29" s="85">
        <v>5006.3907773293149</v>
      </c>
      <c r="H29" s="8">
        <v>7454.99</v>
      </c>
      <c r="I29" s="83">
        <v>0.24</v>
      </c>
      <c r="J29" s="8">
        <f t="shared" si="6"/>
        <v>1201.5337865590354</v>
      </c>
      <c r="K29" s="8">
        <f t="shared" si="7"/>
        <v>1201.5337865590354</v>
      </c>
      <c r="L29" s="8"/>
      <c r="M29" s="8"/>
      <c r="N29" s="8"/>
      <c r="O29" s="8"/>
      <c r="P29" s="8"/>
      <c r="Q29" s="8"/>
      <c r="R29" s="84"/>
      <c r="S29" s="8"/>
      <c r="T29" s="108" t="s">
        <v>37</v>
      </c>
      <c r="U29" s="108" t="s">
        <v>38</v>
      </c>
      <c r="V29" s="109" t="s">
        <v>39</v>
      </c>
      <c r="W29" s="109">
        <v>1062</v>
      </c>
      <c r="X29" s="109">
        <f t="shared" si="15"/>
        <v>1062</v>
      </c>
      <c r="Y29" s="109">
        <f t="shared" si="15"/>
        <v>1062</v>
      </c>
      <c r="Z29" s="109">
        <f t="shared" si="15"/>
        <v>1062</v>
      </c>
      <c r="AA29" s="109">
        <f t="shared" si="15"/>
        <v>1062</v>
      </c>
    </row>
    <row r="30" spans="2:27" x14ac:dyDescent="0.35">
      <c r="B30" s="82" t="s">
        <v>46</v>
      </c>
      <c r="C30" t="s">
        <v>47</v>
      </c>
      <c r="D30" s="1">
        <v>2020</v>
      </c>
      <c r="E30" t="s">
        <v>48</v>
      </c>
      <c r="F30" s="8">
        <f t="shared" si="5"/>
        <v>-1.9752519619942175E-10</v>
      </c>
      <c r="G30" s="85">
        <v>-1.4210854715202004E-14</v>
      </c>
      <c r="H30" s="8">
        <v>13899.599999999999</v>
      </c>
      <c r="I30" s="83">
        <v>0.29749999999999999</v>
      </c>
      <c r="J30" s="8">
        <f t="shared" si="6"/>
        <v>-4.2277292777725959E-15</v>
      </c>
      <c r="K30" s="8">
        <f t="shared" si="7"/>
        <v>-4.2277292777725959E-15</v>
      </c>
      <c r="L30" s="8">
        <f>I30*G30</f>
        <v>-4.2277292777725959E-15</v>
      </c>
      <c r="M30" s="8">
        <f>I30*G30</f>
        <v>-4.2277292777725959E-15</v>
      </c>
      <c r="N30" s="8"/>
      <c r="O30" s="8"/>
      <c r="P30" s="8"/>
      <c r="Q30" s="8"/>
      <c r="R30" s="84"/>
      <c r="S30" s="67">
        <f>Scenario_Control!H4</f>
        <v>0.32</v>
      </c>
      <c r="T30" t="s">
        <v>40</v>
      </c>
      <c r="U30" t="s">
        <v>41</v>
      </c>
      <c r="V30" s="5" t="s">
        <v>42</v>
      </c>
      <c r="W30" s="5">
        <v>11378.17</v>
      </c>
      <c r="X30" s="5">
        <f>W30*(1+$S$30)</f>
        <v>15019.1844</v>
      </c>
      <c r="Y30" s="5">
        <f t="shared" ref="Y30:AA30" si="16">X30*(1+$S$30)</f>
        <v>19825.323408</v>
      </c>
      <c r="Z30" s="5">
        <f t="shared" si="16"/>
        <v>26169.426898560003</v>
      </c>
      <c r="AA30" s="5">
        <f t="shared" si="16"/>
        <v>34543.643506099208</v>
      </c>
    </row>
    <row r="31" spans="2:27" x14ac:dyDescent="0.35">
      <c r="B31" s="82" t="s">
        <v>49</v>
      </c>
      <c r="C31" t="s">
        <v>50</v>
      </c>
      <c r="D31" s="1">
        <v>2020</v>
      </c>
      <c r="E31" t="s">
        <v>51</v>
      </c>
      <c r="F31" s="8">
        <f t="shared" si="5"/>
        <v>2045628.6963895813</v>
      </c>
      <c r="G31" s="85">
        <v>906.50118158554892</v>
      </c>
      <c r="H31" s="8">
        <v>2256.62</v>
      </c>
      <c r="I31" s="83">
        <v>0.28999999999999998</v>
      </c>
      <c r="J31" s="8">
        <f t="shared" si="6"/>
        <v>262.88534265980917</v>
      </c>
      <c r="K31" s="8">
        <f t="shared" si="7"/>
        <v>262.88534265980917</v>
      </c>
      <c r="L31" s="8"/>
      <c r="M31" s="8"/>
      <c r="R31" s="86"/>
      <c r="S31" s="8"/>
      <c r="T31" t="s">
        <v>43</v>
      </c>
      <c r="U31" t="s">
        <v>44</v>
      </c>
      <c r="V31" s="5" t="s">
        <v>45</v>
      </c>
      <c r="W31" s="5">
        <f>W30/3</f>
        <v>3792.7233333333334</v>
      </c>
      <c r="X31" s="5">
        <f t="shared" ref="X31:AA32" si="17">W31*(1+$S$30)</f>
        <v>5006.3948</v>
      </c>
      <c r="Y31" s="5">
        <f t="shared" si="17"/>
        <v>6608.4411360000004</v>
      </c>
      <c r="Z31" s="5">
        <f t="shared" si="17"/>
        <v>8723.142299520001</v>
      </c>
      <c r="AA31" s="5">
        <f t="shared" si="17"/>
        <v>11514.547835366402</v>
      </c>
    </row>
    <row r="32" spans="2:27" x14ac:dyDescent="0.35">
      <c r="B32" s="82" t="s">
        <v>52</v>
      </c>
      <c r="C32" t="s">
        <v>53</v>
      </c>
      <c r="D32" s="1">
        <v>2020</v>
      </c>
      <c r="E32" t="s">
        <v>54</v>
      </c>
      <c r="F32" s="8">
        <f t="shared" si="5"/>
        <v>0</v>
      </c>
      <c r="G32" s="85">
        <v>0</v>
      </c>
      <c r="H32" s="8">
        <v>6048</v>
      </c>
      <c r="I32" s="83">
        <v>0.28999999999999998</v>
      </c>
      <c r="J32" s="8">
        <f t="shared" si="6"/>
        <v>0</v>
      </c>
      <c r="K32" s="8">
        <f t="shared" si="7"/>
        <v>0</v>
      </c>
      <c r="L32" s="8"/>
      <c r="M32" s="8"/>
      <c r="R32" s="86"/>
      <c r="S32" s="8"/>
      <c r="T32" t="s">
        <v>46</v>
      </c>
      <c r="U32" t="s">
        <v>47</v>
      </c>
      <c r="V32" s="5" t="s">
        <v>48</v>
      </c>
      <c r="W32" s="5">
        <v>1990</v>
      </c>
      <c r="X32" s="5">
        <f t="shared" si="17"/>
        <v>2626.8</v>
      </c>
      <c r="Y32" s="5">
        <f t="shared" si="17"/>
        <v>3467.3760000000002</v>
      </c>
      <c r="Z32" s="5">
        <f t="shared" si="17"/>
        <v>4576.9363200000007</v>
      </c>
      <c r="AA32" s="5">
        <f t="shared" si="17"/>
        <v>6041.5559424000012</v>
      </c>
    </row>
    <row r="33" spans="2:28" x14ac:dyDescent="0.35">
      <c r="B33" s="82" t="s">
        <v>17</v>
      </c>
      <c r="C33" t="s">
        <v>18</v>
      </c>
      <c r="D33" s="1">
        <v>2030</v>
      </c>
      <c r="E33" t="s">
        <v>19</v>
      </c>
      <c r="F33" s="8">
        <f t="shared" si="5"/>
        <v>0</v>
      </c>
      <c r="G33" s="85">
        <v>0</v>
      </c>
      <c r="H33" s="8">
        <v>2184.43472351744</v>
      </c>
      <c r="I33" s="83">
        <v>0.23099999999999998</v>
      </c>
      <c r="J33" s="8"/>
      <c r="K33" s="8">
        <f t="shared" si="7"/>
        <v>0</v>
      </c>
      <c r="L33" s="8">
        <f>I33*G33</f>
        <v>0</v>
      </c>
      <c r="M33" s="8"/>
      <c r="N33" s="8">
        <v>330.52250880000003</v>
      </c>
      <c r="O33" s="8"/>
      <c r="P33" s="8">
        <f>N33*G33</f>
        <v>0</v>
      </c>
      <c r="Q33" s="8">
        <f>N33*G33</f>
        <v>0</v>
      </c>
      <c r="R33" s="84"/>
      <c r="S33" s="67">
        <f>Scenario_Control!I4</f>
        <v>0.32</v>
      </c>
      <c r="T33" t="s">
        <v>49</v>
      </c>
      <c r="U33" t="s">
        <v>50</v>
      </c>
      <c r="V33" s="5" t="s">
        <v>51</v>
      </c>
      <c r="W33" s="5">
        <v>30000</v>
      </c>
      <c r="X33" s="5">
        <f>W33*(1+$S$33)</f>
        <v>39600</v>
      </c>
      <c r="Y33" s="5">
        <f t="shared" ref="Y33:AA33" si="18">X33*(1+$S$33)</f>
        <v>52272</v>
      </c>
      <c r="Z33" s="5">
        <f t="shared" si="18"/>
        <v>68999.040000000008</v>
      </c>
      <c r="AA33" s="5">
        <f t="shared" si="18"/>
        <v>91078.732800000013</v>
      </c>
    </row>
    <row r="34" spans="2:28" x14ac:dyDescent="0.35">
      <c r="B34" s="82" t="s">
        <v>20</v>
      </c>
      <c r="C34" t="s">
        <v>21</v>
      </c>
      <c r="D34" s="1">
        <v>2030</v>
      </c>
      <c r="E34" t="s">
        <v>22</v>
      </c>
      <c r="F34" s="8">
        <f t="shared" si="5"/>
        <v>12663761.37909312</v>
      </c>
      <c r="G34" s="85">
        <v>3077.6187389129168</v>
      </c>
      <c r="H34" s="8">
        <v>4114.7921342480004</v>
      </c>
      <c r="I34" s="83">
        <v>0.36549999999999999</v>
      </c>
      <c r="J34" s="8"/>
      <c r="K34" s="8">
        <f t="shared" si="7"/>
        <v>1124.8696490726711</v>
      </c>
      <c r="L34" s="8">
        <f t="shared" ref="L34:L58" si="19">I34*G34</f>
        <v>1124.8696490726711</v>
      </c>
      <c r="M34" s="8">
        <f>I34*G34</f>
        <v>1124.8696490726711</v>
      </c>
      <c r="N34" s="8">
        <v>402.68658988799996</v>
      </c>
      <c r="O34" s="8"/>
      <c r="P34" s="8">
        <f t="shared" ref="P34:P37" si="20">N34*G34</f>
        <v>1239315.7949482494</v>
      </c>
      <c r="Q34" s="8">
        <f>N34*G34</f>
        <v>1239315.7949482494</v>
      </c>
      <c r="R34" s="84">
        <f>N34*G34</f>
        <v>1239315.7949482494</v>
      </c>
      <c r="S34" s="8"/>
      <c r="T34" t="s">
        <v>52</v>
      </c>
      <c r="U34" t="s">
        <v>53</v>
      </c>
      <c r="V34" s="5" t="s">
        <v>54</v>
      </c>
      <c r="W34" s="5">
        <v>2000</v>
      </c>
      <c r="X34" s="5">
        <f>W34*(1+$S$33)</f>
        <v>2640</v>
      </c>
      <c r="Y34" s="5">
        <f t="shared" ref="Y34:AA34" si="21">X34*(1+$S$33)</f>
        <v>3484.8</v>
      </c>
      <c r="Z34" s="5">
        <f t="shared" si="21"/>
        <v>4599.9360000000006</v>
      </c>
      <c r="AA34" s="5">
        <f t="shared" si="21"/>
        <v>6071.9155200000014</v>
      </c>
    </row>
    <row r="35" spans="2:28" x14ac:dyDescent="0.35">
      <c r="B35" s="82" t="s">
        <v>23</v>
      </c>
      <c r="C35" t="s">
        <v>24</v>
      </c>
      <c r="D35" s="1">
        <v>2030</v>
      </c>
      <c r="E35" t="s">
        <v>25</v>
      </c>
      <c r="F35" s="8">
        <f t="shared" si="5"/>
        <v>7793607.0798211778</v>
      </c>
      <c r="G35" s="85">
        <v>3992.9396254090279</v>
      </c>
      <c r="H35" s="8">
        <v>1951.8469626304</v>
      </c>
      <c r="I35" s="83">
        <v>0.29749999999999999</v>
      </c>
      <c r="J35" s="8"/>
      <c r="K35" s="8">
        <f t="shared" si="7"/>
        <v>1187.8995385591857</v>
      </c>
      <c r="L35" s="8">
        <f t="shared" si="19"/>
        <v>1187.8995385591857</v>
      </c>
      <c r="M35" s="8"/>
      <c r="N35" s="8">
        <v>312.16014719999998</v>
      </c>
      <c r="O35" s="8"/>
      <c r="P35" s="8">
        <f t="shared" si="20"/>
        <v>1246436.621228395</v>
      </c>
      <c r="Q35" s="8">
        <f t="shared" ref="Q35:Q37" si="22">N35*G35</f>
        <v>1246436.621228395</v>
      </c>
      <c r="R35" s="84"/>
      <c r="S35" s="8"/>
      <c r="T35" s="8"/>
    </row>
    <row r="36" spans="2:28" x14ac:dyDescent="0.35">
      <c r="B36" s="82" t="s">
        <v>26</v>
      </c>
      <c r="C36" t="s">
        <v>27</v>
      </c>
      <c r="D36" s="1">
        <v>2030</v>
      </c>
      <c r="E36" t="s">
        <v>28</v>
      </c>
      <c r="F36" s="8">
        <f t="shared" si="5"/>
        <v>26955655.189745571</v>
      </c>
      <c r="G36" s="85">
        <v>14318.935483245205</v>
      </c>
      <c r="H36" s="8">
        <v>1882.5180978911999</v>
      </c>
      <c r="I36" s="83">
        <v>0.48449999999999993</v>
      </c>
      <c r="J36" s="8"/>
      <c r="K36" s="8">
        <f t="shared" si="7"/>
        <v>6937.5242416323008</v>
      </c>
      <c r="L36" s="8">
        <f t="shared" si="19"/>
        <v>6937.5242416323008</v>
      </c>
      <c r="M36" s="8">
        <f>I36*G36</f>
        <v>6937.5242416323008</v>
      </c>
      <c r="N36" s="8">
        <v>238.802512608</v>
      </c>
      <c r="O36" s="8"/>
      <c r="P36" s="8">
        <f t="shared" si="20"/>
        <v>3419397.7712708013</v>
      </c>
      <c r="Q36" s="8">
        <f t="shared" si="22"/>
        <v>3419397.7712708013</v>
      </c>
      <c r="R36" s="84">
        <f>N34*G34</f>
        <v>1239315.7949482494</v>
      </c>
      <c r="S36" s="67">
        <v>0.05</v>
      </c>
      <c r="T36" s="9" t="s">
        <v>56</v>
      </c>
      <c r="U36" s="11" t="s">
        <v>1</v>
      </c>
      <c r="V36" s="6"/>
      <c r="W36" s="7">
        <v>2018</v>
      </c>
      <c r="X36" s="7">
        <v>2020</v>
      </c>
      <c r="Y36" s="7">
        <v>2030</v>
      </c>
      <c r="Z36" s="7">
        <v>2040</v>
      </c>
      <c r="AA36" s="7">
        <v>2050</v>
      </c>
    </row>
    <row r="37" spans="2:28" x14ac:dyDescent="0.35">
      <c r="B37" s="82" t="s">
        <v>29</v>
      </c>
      <c r="C37" t="s">
        <v>24</v>
      </c>
      <c r="D37" s="1">
        <v>2030</v>
      </c>
      <c r="E37" t="s">
        <v>30</v>
      </c>
      <c r="F37" s="8">
        <f t="shared" si="5"/>
        <v>482787.7292218341</v>
      </c>
      <c r="G37" s="85">
        <v>533.16187754409975</v>
      </c>
      <c r="H37" s="8">
        <v>905.5180978912</v>
      </c>
      <c r="I37" s="83">
        <v>0.32300000000000001</v>
      </c>
      <c r="J37" s="8"/>
      <c r="K37" s="8">
        <f t="shared" si="7"/>
        <v>172.21128644674423</v>
      </c>
      <c r="L37" s="8">
        <f t="shared" si="19"/>
        <v>172.21128644674423</v>
      </c>
      <c r="M37" s="8">
        <f t="shared" ref="M37:M43" si="23">I37*G37</f>
        <v>172.21128644674423</v>
      </c>
      <c r="N37" s="8">
        <v>238.802512608</v>
      </c>
      <c r="O37" s="8"/>
      <c r="P37" s="8">
        <f t="shared" si="20"/>
        <v>127320.39598432984</v>
      </c>
      <c r="Q37" s="8">
        <f t="shared" si="22"/>
        <v>127320.39598432984</v>
      </c>
      <c r="R37" s="84">
        <f>N34*G34</f>
        <v>1239315.7949482494</v>
      </c>
      <c r="S37" s="8"/>
      <c r="T37" t="s">
        <v>17</v>
      </c>
      <c r="U37" t="s">
        <v>18</v>
      </c>
      <c r="V37" s="5" t="s">
        <v>19</v>
      </c>
      <c r="W37" s="5"/>
      <c r="X37" s="5"/>
      <c r="Y37" s="5"/>
      <c r="Z37" s="5"/>
      <c r="AA37" s="5"/>
    </row>
    <row r="38" spans="2:28" x14ac:dyDescent="0.35">
      <c r="B38" s="82" t="s">
        <v>31</v>
      </c>
      <c r="C38" t="s">
        <v>32</v>
      </c>
      <c r="D38" s="1">
        <v>2030</v>
      </c>
      <c r="E38" t="s">
        <v>33</v>
      </c>
      <c r="F38" s="8">
        <f t="shared" si="5"/>
        <v>0</v>
      </c>
      <c r="G38" s="85">
        <v>0</v>
      </c>
      <c r="H38" s="8">
        <v>6465.8</v>
      </c>
      <c r="I38" s="83">
        <v>0.62</v>
      </c>
      <c r="J38" s="8"/>
      <c r="K38" s="8">
        <f t="shared" si="7"/>
        <v>0</v>
      </c>
      <c r="L38" s="8">
        <f t="shared" si="19"/>
        <v>0</v>
      </c>
      <c r="M38" s="8">
        <f t="shared" si="23"/>
        <v>0</v>
      </c>
      <c r="N38" s="8"/>
      <c r="O38" s="8"/>
      <c r="P38" s="8"/>
      <c r="Q38" s="8"/>
      <c r="R38" s="84"/>
      <c r="S38" s="8"/>
      <c r="T38" t="s">
        <v>20</v>
      </c>
      <c r="U38" t="s">
        <v>21</v>
      </c>
      <c r="V38" s="5" t="s">
        <v>22</v>
      </c>
      <c r="W38" s="5"/>
      <c r="X38" s="5"/>
      <c r="Y38" s="5"/>
      <c r="Z38" s="5"/>
      <c r="AA38" s="5"/>
    </row>
    <row r="39" spans="2:28" x14ac:dyDescent="0.35">
      <c r="B39" s="82" t="s">
        <v>34</v>
      </c>
      <c r="C39" t="s">
        <v>35</v>
      </c>
      <c r="D39" s="1">
        <v>2030</v>
      </c>
      <c r="E39" t="s">
        <v>36</v>
      </c>
      <c r="F39" s="8">
        <f t="shared" si="5"/>
        <v>0</v>
      </c>
      <c r="G39" s="85">
        <v>0</v>
      </c>
      <c r="H39" s="8">
        <v>6026.8</v>
      </c>
      <c r="I39" s="83">
        <v>0.62</v>
      </c>
      <c r="J39" s="8"/>
      <c r="K39" s="8">
        <f t="shared" si="7"/>
        <v>0</v>
      </c>
      <c r="L39" s="8">
        <f t="shared" si="19"/>
        <v>0</v>
      </c>
      <c r="M39" s="8">
        <f t="shared" si="23"/>
        <v>0</v>
      </c>
      <c r="N39" s="8"/>
      <c r="O39" s="8"/>
      <c r="P39" s="8"/>
      <c r="Q39" s="8"/>
      <c r="R39" s="84"/>
      <c r="S39" s="8"/>
      <c r="T39" t="s">
        <v>23</v>
      </c>
      <c r="U39" t="s">
        <v>24</v>
      </c>
      <c r="V39" s="5" t="s">
        <v>25</v>
      </c>
      <c r="W39" s="5"/>
      <c r="X39" s="5"/>
      <c r="Y39" s="5"/>
      <c r="Z39" s="5"/>
      <c r="AA39" s="5"/>
    </row>
    <row r="40" spans="2:28" x14ac:dyDescent="0.35">
      <c r="B40" s="82" t="s">
        <v>37</v>
      </c>
      <c r="C40" t="s">
        <v>38</v>
      </c>
      <c r="D40" s="1">
        <v>2030</v>
      </c>
      <c r="E40" t="s">
        <v>39</v>
      </c>
      <c r="F40" s="8">
        <f t="shared" si="5"/>
        <v>0</v>
      </c>
      <c r="G40" s="85">
        <v>0</v>
      </c>
      <c r="H40" s="8">
        <v>7025.8</v>
      </c>
      <c r="I40" s="83">
        <v>0.62</v>
      </c>
      <c r="J40" s="8"/>
      <c r="K40" s="8">
        <f t="shared" si="7"/>
        <v>0</v>
      </c>
      <c r="L40" s="8">
        <f t="shared" si="19"/>
        <v>0</v>
      </c>
      <c r="M40" s="8">
        <f t="shared" si="23"/>
        <v>0</v>
      </c>
      <c r="N40" s="8"/>
      <c r="O40" s="8"/>
      <c r="P40" s="8"/>
      <c r="Q40" s="8"/>
      <c r="R40" s="84"/>
      <c r="S40" s="8"/>
      <c r="T40" t="s">
        <v>26</v>
      </c>
      <c r="U40" t="s">
        <v>27</v>
      </c>
      <c r="V40" s="5" t="s">
        <v>28</v>
      </c>
      <c r="W40" s="5"/>
      <c r="X40" s="5"/>
      <c r="Y40" s="5"/>
      <c r="Z40" s="5"/>
      <c r="AA40" s="5"/>
    </row>
    <row r="41" spans="2:28" x14ac:dyDescent="0.35">
      <c r="B41" s="82" t="s">
        <v>40</v>
      </c>
      <c r="C41" t="s">
        <v>41</v>
      </c>
      <c r="D41" s="1">
        <v>2030</v>
      </c>
      <c r="E41" t="s">
        <v>42</v>
      </c>
      <c r="F41" s="8">
        <f t="shared" si="5"/>
        <v>3.4436179309090789</v>
      </c>
      <c r="G41" s="85">
        <v>6.7902038488185394E-4</v>
      </c>
      <c r="H41" s="8">
        <v>5071.4500000000007</v>
      </c>
      <c r="I41" s="83">
        <v>0.33</v>
      </c>
      <c r="J41" s="8"/>
      <c r="K41" s="8">
        <f t="shared" si="7"/>
        <v>2.240767270110118E-4</v>
      </c>
      <c r="L41" s="8">
        <f t="shared" si="19"/>
        <v>2.240767270110118E-4</v>
      </c>
      <c r="M41" s="8">
        <f t="shared" si="23"/>
        <v>2.240767270110118E-4</v>
      </c>
      <c r="N41" s="8"/>
      <c r="O41" s="8"/>
      <c r="P41" s="8"/>
      <c r="Q41" s="8"/>
      <c r="R41" s="84"/>
      <c r="S41" s="8"/>
      <c r="T41" t="s">
        <v>29</v>
      </c>
      <c r="U41" t="s">
        <v>24</v>
      </c>
      <c r="V41" s="5" t="s">
        <v>30</v>
      </c>
      <c r="W41" s="5"/>
      <c r="X41" s="5"/>
      <c r="Y41" s="5"/>
      <c r="Z41" s="5"/>
      <c r="AA41" s="5"/>
    </row>
    <row r="42" spans="2:28" x14ac:dyDescent="0.35">
      <c r="B42" s="82" t="s">
        <v>43</v>
      </c>
      <c r="C42" t="s">
        <v>44</v>
      </c>
      <c r="D42" s="1">
        <v>2030</v>
      </c>
      <c r="E42" t="s">
        <v>45</v>
      </c>
      <c r="F42" s="8">
        <f t="shared" si="5"/>
        <v>11661557.798768515</v>
      </c>
      <c r="G42" s="85">
        <v>1602.0449857289382</v>
      </c>
      <c r="H42" s="8">
        <v>7279.17</v>
      </c>
      <c r="I42" s="83">
        <v>0.24</v>
      </c>
      <c r="J42" s="8"/>
      <c r="K42" s="8">
        <f t="shared" si="7"/>
        <v>384.49079657494514</v>
      </c>
      <c r="L42" s="8">
        <f t="shared" si="19"/>
        <v>384.49079657494514</v>
      </c>
      <c r="M42" s="8"/>
      <c r="N42" s="8"/>
      <c r="O42" s="8"/>
      <c r="P42" s="8"/>
      <c r="Q42" s="8"/>
      <c r="R42" s="84"/>
      <c r="S42" s="8"/>
      <c r="T42" t="s">
        <v>31</v>
      </c>
      <c r="U42" t="s">
        <v>32</v>
      </c>
      <c r="V42" s="5" t="s">
        <v>33</v>
      </c>
      <c r="W42" s="5"/>
      <c r="X42" s="5"/>
      <c r="Y42" s="5"/>
      <c r="Z42" s="5"/>
      <c r="AA42" s="5"/>
    </row>
    <row r="43" spans="2:28" x14ac:dyDescent="0.35">
      <c r="B43" s="82" t="s">
        <v>46</v>
      </c>
      <c r="C43" t="s">
        <v>47</v>
      </c>
      <c r="D43" s="1">
        <v>2030</v>
      </c>
      <c r="E43" t="s">
        <v>48</v>
      </c>
      <c r="F43" s="8">
        <f t="shared" si="5"/>
        <v>0</v>
      </c>
      <c r="G43" s="85">
        <v>0</v>
      </c>
      <c r="H43" s="8">
        <v>13899.599999999999</v>
      </c>
      <c r="I43" s="83">
        <v>0.29749999999999999</v>
      </c>
      <c r="J43" s="8"/>
      <c r="K43" s="8">
        <f t="shared" si="7"/>
        <v>0</v>
      </c>
      <c r="L43" s="8">
        <f t="shared" si="19"/>
        <v>0</v>
      </c>
      <c r="M43" s="8">
        <f t="shared" si="23"/>
        <v>0</v>
      </c>
      <c r="N43" s="8"/>
      <c r="O43" s="8"/>
      <c r="P43" s="8"/>
      <c r="Q43" s="8"/>
      <c r="R43" s="84"/>
      <c r="S43" s="8"/>
      <c r="T43" t="s">
        <v>34</v>
      </c>
      <c r="U43" t="s">
        <v>35</v>
      </c>
      <c r="V43" s="5" t="s">
        <v>36</v>
      </c>
      <c r="W43" s="5"/>
      <c r="X43" s="5"/>
      <c r="Y43" s="5"/>
      <c r="Z43" s="5"/>
      <c r="AA43" s="5"/>
      <c r="AB43" s="5"/>
    </row>
    <row r="44" spans="2:28" x14ac:dyDescent="0.35">
      <c r="B44" s="82" t="s">
        <v>49</v>
      </c>
      <c r="C44" t="s">
        <v>50</v>
      </c>
      <c r="D44" s="1">
        <v>2030</v>
      </c>
      <c r="E44" t="s">
        <v>51</v>
      </c>
      <c r="F44" s="8">
        <f t="shared" si="5"/>
        <v>104829359.44327758</v>
      </c>
      <c r="G44" s="85">
        <v>51359.49881841446</v>
      </c>
      <c r="H44" s="8">
        <v>2041.0900000000001</v>
      </c>
      <c r="I44" s="83">
        <v>0.28999999999999998</v>
      </c>
      <c r="J44" s="8"/>
      <c r="K44" s="8">
        <f t="shared" si="7"/>
        <v>14894.254657340192</v>
      </c>
      <c r="L44" s="8">
        <f t="shared" si="19"/>
        <v>14894.254657340192</v>
      </c>
      <c r="M44" s="8"/>
      <c r="R44" s="86"/>
      <c r="S44" s="8"/>
      <c r="T44" t="s">
        <v>37</v>
      </c>
      <c r="U44" t="s">
        <v>38</v>
      </c>
      <c r="V44" s="5" t="s">
        <v>39</v>
      </c>
      <c r="W44" s="5"/>
      <c r="X44" s="5"/>
      <c r="Y44" s="5"/>
      <c r="Z44" s="5"/>
      <c r="AA44" s="5"/>
      <c r="AB44" s="5"/>
    </row>
    <row r="45" spans="2:28" x14ac:dyDescent="0.35">
      <c r="B45" s="82" t="s">
        <v>52</v>
      </c>
      <c r="C45" t="s">
        <v>53</v>
      </c>
      <c r="D45" s="1">
        <v>2030</v>
      </c>
      <c r="E45" t="s">
        <v>54</v>
      </c>
      <c r="F45" s="8">
        <f t="shared" si="5"/>
        <v>15398564.62648716</v>
      </c>
      <c r="G45" s="85">
        <v>3477.5439535878863</v>
      </c>
      <c r="H45" s="8">
        <v>4428</v>
      </c>
      <c r="I45" s="83">
        <v>0.28999999999999998</v>
      </c>
      <c r="J45" s="8"/>
      <c r="K45" s="8">
        <f t="shared" si="7"/>
        <v>1008.487746540487</v>
      </c>
      <c r="L45" s="8">
        <f t="shared" si="19"/>
        <v>1008.487746540487</v>
      </c>
      <c r="M45" s="8"/>
      <c r="R45" s="86"/>
      <c r="S45" s="8"/>
      <c r="T45" t="s">
        <v>40</v>
      </c>
      <c r="U45" t="s">
        <v>41</v>
      </c>
      <c r="V45" s="5" t="s">
        <v>42</v>
      </c>
      <c r="W45" s="5"/>
      <c r="X45" s="5"/>
      <c r="Y45" s="5"/>
      <c r="Z45" s="5"/>
      <c r="AA45" s="5"/>
      <c r="AB45" s="5"/>
    </row>
    <row r="46" spans="2:28" x14ac:dyDescent="0.35">
      <c r="B46" s="82" t="s">
        <v>17</v>
      </c>
      <c r="C46" t="s">
        <v>18</v>
      </c>
      <c r="D46" s="1">
        <v>2040</v>
      </c>
      <c r="E46" t="s">
        <v>19</v>
      </c>
      <c r="F46" s="8">
        <f t="shared" si="5"/>
        <v>61653458.936930589</v>
      </c>
      <c r="G46" s="85">
        <v>28223.987777329599</v>
      </c>
      <c r="H46" s="8">
        <v>2184.43472351744</v>
      </c>
      <c r="I46" s="83">
        <v>0.23099999999999998</v>
      </c>
      <c r="J46" s="8"/>
      <c r="K46" s="8"/>
      <c r="L46" s="8">
        <f t="shared" si="19"/>
        <v>6519.7411765631368</v>
      </c>
      <c r="M46" s="8">
        <f t="shared" ref="M46:M71" si="24">I46*G46</f>
        <v>6519.7411765631368</v>
      </c>
      <c r="N46" s="8">
        <v>330.52250880000003</v>
      </c>
      <c r="O46" s="8"/>
      <c r="P46" s="8"/>
      <c r="Q46" s="8">
        <f>N46*G46</f>
        <v>9328663.2485035155</v>
      </c>
      <c r="R46" s="84">
        <f>N46*G46</f>
        <v>9328663.2485035155</v>
      </c>
      <c r="S46" s="8"/>
      <c r="T46" t="s">
        <v>43</v>
      </c>
      <c r="U46" t="s">
        <v>44</v>
      </c>
      <c r="V46" s="5" t="s">
        <v>45</v>
      </c>
      <c r="W46" s="5"/>
      <c r="X46" s="5"/>
      <c r="Y46" s="5"/>
      <c r="Z46" s="5"/>
      <c r="AA46" s="5"/>
      <c r="AB46" s="5"/>
    </row>
    <row r="47" spans="2:28" x14ac:dyDescent="0.35">
      <c r="B47" s="82" t="s">
        <v>20</v>
      </c>
      <c r="C47" t="s">
        <v>21</v>
      </c>
      <c r="D47" s="1">
        <v>2040</v>
      </c>
      <c r="E47" t="s">
        <v>22</v>
      </c>
      <c r="F47" s="8">
        <f t="shared" si="5"/>
        <v>1.5395957478582154</v>
      </c>
      <c r="G47" s="85">
        <v>3.7412834713628439E-4</v>
      </c>
      <c r="H47" s="8">
        <v>4115.1539562367998</v>
      </c>
      <c r="I47" s="83">
        <v>0.36549999999999999</v>
      </c>
      <c r="J47" s="8"/>
      <c r="K47" s="8"/>
      <c r="L47" s="8">
        <f t="shared" si="19"/>
        <v>1.3674391087831195E-4</v>
      </c>
      <c r="M47" s="8">
        <f t="shared" si="24"/>
        <v>1.3674391087831195E-4</v>
      </c>
      <c r="N47" s="8">
        <v>402.68658988799996</v>
      </c>
      <c r="O47" s="8"/>
      <c r="P47" s="8"/>
      <c r="Q47" s="8">
        <f t="shared" ref="Q47:Q50" si="25">N47*G47</f>
        <v>0.15065646828874424</v>
      </c>
      <c r="R47" s="84">
        <f t="shared" ref="R47:R50" si="26">N47*G47</f>
        <v>0.15065646828874424</v>
      </c>
      <c r="S47" s="8"/>
      <c r="T47" t="s">
        <v>46</v>
      </c>
      <c r="U47" t="s">
        <v>47</v>
      </c>
      <c r="V47" s="5" t="s">
        <v>48</v>
      </c>
      <c r="W47" s="5"/>
      <c r="X47" s="5"/>
      <c r="Y47" s="5"/>
      <c r="Z47" s="5"/>
      <c r="AA47" s="5"/>
      <c r="AB47" s="5"/>
    </row>
    <row r="48" spans="2:28" x14ac:dyDescent="0.35">
      <c r="B48" s="82" t="s">
        <v>23</v>
      </c>
      <c r="C48" t="s">
        <v>24</v>
      </c>
      <c r="D48" s="1">
        <v>2040</v>
      </c>
      <c r="E48" t="s">
        <v>25</v>
      </c>
      <c r="F48" s="8">
        <f t="shared" si="5"/>
        <v>44142364.237424366</v>
      </c>
      <c r="G48" s="85">
        <v>22544.887945646835</v>
      </c>
      <c r="H48" s="8">
        <v>1957.9766527935999</v>
      </c>
      <c r="I48" s="83">
        <v>0.29749999999999999</v>
      </c>
      <c r="J48" s="8"/>
      <c r="K48" s="8"/>
      <c r="L48" s="8">
        <f t="shared" si="19"/>
        <v>6707.104163829933</v>
      </c>
      <c r="M48" s="8">
        <f t="shared" si="24"/>
        <v>6707.104163829933</v>
      </c>
      <c r="N48" s="8">
        <v>312.16014719999998</v>
      </c>
      <c r="O48" s="8"/>
      <c r="P48" s="8"/>
      <c r="Q48" s="8">
        <f t="shared" si="25"/>
        <v>7037615.539720621</v>
      </c>
      <c r="R48" s="84">
        <f t="shared" si="26"/>
        <v>7037615.539720621</v>
      </c>
      <c r="S48" s="8"/>
      <c r="T48" t="s">
        <v>49</v>
      </c>
      <c r="U48" t="s">
        <v>50</v>
      </c>
      <c r="V48" s="5" t="s">
        <v>51</v>
      </c>
      <c r="X48" s="5"/>
      <c r="Y48" s="5"/>
      <c r="Z48" s="5"/>
      <c r="AA48" s="5"/>
    </row>
    <row r="49" spans="2:27" x14ac:dyDescent="0.35">
      <c r="B49" s="82" t="s">
        <v>26</v>
      </c>
      <c r="C49" t="s">
        <v>27</v>
      </c>
      <c r="D49" s="1">
        <v>2040</v>
      </c>
      <c r="E49" t="s">
        <v>28</v>
      </c>
      <c r="F49" s="8">
        <f t="shared" si="5"/>
        <v>13502400.467428699</v>
      </c>
      <c r="G49" s="85">
        <v>7158.7617184143282</v>
      </c>
      <c r="H49" s="8">
        <v>1886.1363177792</v>
      </c>
      <c r="I49" s="83">
        <v>0.48449999999999993</v>
      </c>
      <c r="J49" s="8"/>
      <c r="K49" s="8"/>
      <c r="L49" s="8">
        <f t="shared" si="19"/>
        <v>3468.4200525717415</v>
      </c>
      <c r="M49" s="8">
        <f t="shared" si="24"/>
        <v>3468.4200525717415</v>
      </c>
      <c r="N49" s="8">
        <v>238.802512608</v>
      </c>
      <c r="O49" s="8"/>
      <c r="P49" s="8"/>
      <c r="Q49" s="8">
        <f t="shared" si="25"/>
        <v>1709530.2855193054</v>
      </c>
      <c r="R49" s="84">
        <f t="shared" si="26"/>
        <v>1709530.2855193054</v>
      </c>
      <c r="S49" s="8"/>
      <c r="T49" t="s">
        <v>52</v>
      </c>
      <c r="U49" t="s">
        <v>53</v>
      </c>
      <c r="V49" s="5" t="s">
        <v>54</v>
      </c>
      <c r="W49" s="5"/>
      <c r="X49" s="5"/>
      <c r="Y49" s="5"/>
      <c r="Z49" s="5"/>
      <c r="AA49" s="5"/>
    </row>
    <row r="50" spans="2:27" x14ac:dyDescent="0.35">
      <c r="B50" s="82" t="s">
        <v>29</v>
      </c>
      <c r="C50" t="s">
        <v>24</v>
      </c>
      <c r="D50" s="1">
        <v>2040</v>
      </c>
      <c r="E50" t="s">
        <v>30</v>
      </c>
      <c r="F50" s="8">
        <f t="shared" si="5"/>
        <v>2.6627170147298831E-2</v>
      </c>
      <c r="G50" s="85">
        <v>2.9288424218210271E-5</v>
      </c>
      <c r="H50" s="8">
        <v>909.1363177792</v>
      </c>
      <c r="I50" s="83">
        <v>0.32300000000000001</v>
      </c>
      <c r="J50" s="8"/>
      <c r="K50" s="8"/>
      <c r="L50" s="8">
        <f t="shared" si="19"/>
        <v>9.4601610224819176E-6</v>
      </c>
      <c r="M50" s="8">
        <f t="shared" si="24"/>
        <v>9.4601610224819176E-6</v>
      </c>
      <c r="N50" s="8">
        <v>238.802512608</v>
      </c>
      <c r="O50" s="8"/>
      <c r="P50" s="8"/>
      <c r="Q50" s="8">
        <f t="shared" si="25"/>
        <v>6.9941492936376106E-3</v>
      </c>
      <c r="R50" s="84">
        <f t="shared" si="26"/>
        <v>6.9941492936376106E-3</v>
      </c>
      <c r="S50" s="8"/>
      <c r="T50" s="8"/>
    </row>
    <row r="51" spans="2:27" x14ac:dyDescent="0.35">
      <c r="B51" s="82" t="s">
        <v>31</v>
      </c>
      <c r="C51" t="s">
        <v>32</v>
      </c>
      <c r="D51" s="1">
        <v>2040</v>
      </c>
      <c r="E51" t="s">
        <v>33</v>
      </c>
      <c r="F51" s="8">
        <f t="shared" si="5"/>
        <v>1.2643101894549845E-8</v>
      </c>
      <c r="G51" s="85">
        <v>1.9553809110318669E-12</v>
      </c>
      <c r="H51" s="8">
        <v>6465.8</v>
      </c>
      <c r="I51" s="83">
        <v>0.62</v>
      </c>
      <c r="J51" s="8"/>
      <c r="K51" s="8"/>
      <c r="L51" s="8">
        <f t="shared" si="19"/>
        <v>1.2123361648397576E-12</v>
      </c>
      <c r="M51" s="8">
        <f t="shared" si="24"/>
        <v>1.2123361648397576E-12</v>
      </c>
      <c r="N51" s="8"/>
      <c r="O51" s="8"/>
      <c r="P51" s="8"/>
      <c r="Q51" s="8"/>
      <c r="R51" s="84"/>
      <c r="S51" s="8"/>
      <c r="T51" s="8"/>
    </row>
    <row r="52" spans="2:27" x14ac:dyDescent="0.35">
      <c r="B52" s="82" t="s">
        <v>34</v>
      </c>
      <c r="C52" t="s">
        <v>35</v>
      </c>
      <c r="D52" s="1">
        <v>2040</v>
      </c>
      <c r="E52" t="s">
        <v>36</v>
      </c>
      <c r="F52" s="8">
        <f t="shared" si="5"/>
        <v>0</v>
      </c>
      <c r="G52" s="85">
        <v>0</v>
      </c>
      <c r="H52" s="8">
        <v>6026.8</v>
      </c>
      <c r="I52" s="83">
        <v>0.62</v>
      </c>
      <c r="J52" s="8"/>
      <c r="K52" s="8"/>
      <c r="L52" s="8">
        <f t="shared" si="19"/>
        <v>0</v>
      </c>
      <c r="M52" s="8">
        <f t="shared" si="24"/>
        <v>0</v>
      </c>
      <c r="N52" s="8"/>
      <c r="O52" s="8"/>
      <c r="P52" s="8"/>
      <c r="Q52" s="8"/>
      <c r="R52" s="84"/>
      <c r="S52" s="8"/>
      <c r="T52" s="8"/>
    </row>
    <row r="53" spans="2:27" x14ac:dyDescent="0.35">
      <c r="B53" s="82" t="s">
        <v>37</v>
      </c>
      <c r="C53" t="s">
        <v>38</v>
      </c>
      <c r="D53" s="1">
        <v>2040</v>
      </c>
      <c r="E53" t="s">
        <v>39</v>
      </c>
      <c r="F53" s="8">
        <f t="shared" si="5"/>
        <v>0</v>
      </c>
      <c r="G53" s="85">
        <v>0</v>
      </c>
      <c r="H53" s="8">
        <v>7025.8</v>
      </c>
      <c r="I53" s="83">
        <v>0.62</v>
      </c>
      <c r="J53" s="8"/>
      <c r="K53" s="8"/>
      <c r="L53" s="8">
        <f t="shared" si="19"/>
        <v>0</v>
      </c>
      <c r="M53" s="8">
        <f t="shared" si="24"/>
        <v>0</v>
      </c>
      <c r="N53" s="8"/>
      <c r="O53" s="8"/>
      <c r="P53" s="8"/>
      <c r="Q53" s="8"/>
      <c r="R53" s="84"/>
      <c r="S53" s="8"/>
      <c r="T53" s="8"/>
    </row>
    <row r="54" spans="2:27" x14ac:dyDescent="0.35">
      <c r="B54" s="82" t="s">
        <v>40</v>
      </c>
      <c r="C54" t="s">
        <v>41</v>
      </c>
      <c r="D54" s="1">
        <v>2040</v>
      </c>
      <c r="E54" t="s">
        <v>42</v>
      </c>
      <c r="F54" s="8">
        <f t="shared" si="5"/>
        <v>0.98090801815176409</v>
      </c>
      <c r="G54" s="85">
        <v>1.9486509504820711E-4</v>
      </c>
      <c r="H54" s="8">
        <v>5033.7800000000007</v>
      </c>
      <c r="I54" s="83">
        <v>0.33</v>
      </c>
      <c r="J54" s="8"/>
      <c r="K54" s="8"/>
      <c r="L54" s="8">
        <f t="shared" si="19"/>
        <v>6.4305481365908344E-5</v>
      </c>
      <c r="M54" s="8">
        <f t="shared" si="24"/>
        <v>6.4305481365908344E-5</v>
      </c>
      <c r="N54" s="8"/>
      <c r="O54" s="8"/>
      <c r="P54" s="8"/>
      <c r="Q54" s="8"/>
      <c r="R54" s="84"/>
      <c r="S54" s="8"/>
      <c r="T54" s="8"/>
    </row>
    <row r="55" spans="2:27" x14ac:dyDescent="0.35">
      <c r="B55" s="82" t="s">
        <v>43</v>
      </c>
      <c r="C55" t="s">
        <v>44</v>
      </c>
      <c r="D55" s="1">
        <v>2040</v>
      </c>
      <c r="E55" t="s">
        <v>45</v>
      </c>
      <c r="F55" s="8">
        <f t="shared" si="5"/>
        <v>15021475.662744327</v>
      </c>
      <c r="G55" s="85">
        <v>2114.700038114966</v>
      </c>
      <c r="H55" s="8">
        <v>7103.3600000000006</v>
      </c>
      <c r="I55" s="83">
        <v>0.24</v>
      </c>
      <c r="J55" s="8"/>
      <c r="K55" s="8"/>
      <c r="L55" s="8">
        <f t="shared" si="19"/>
        <v>507.52800914759183</v>
      </c>
      <c r="M55" s="8">
        <f t="shared" si="24"/>
        <v>507.52800914759183</v>
      </c>
      <c r="N55" s="8"/>
      <c r="O55" s="8"/>
      <c r="P55" s="8"/>
      <c r="Q55" s="8"/>
      <c r="R55" s="84"/>
      <c r="S55" s="8"/>
      <c r="T55" s="8"/>
    </row>
    <row r="56" spans="2:27" x14ac:dyDescent="0.35">
      <c r="B56" s="82" t="s">
        <v>46</v>
      </c>
      <c r="C56" t="s">
        <v>47</v>
      </c>
      <c r="D56" s="1">
        <v>2040</v>
      </c>
      <c r="E56" t="s">
        <v>48</v>
      </c>
      <c r="F56" s="8">
        <f t="shared" si="5"/>
        <v>0</v>
      </c>
      <c r="G56" s="85">
        <v>0</v>
      </c>
      <c r="H56" s="8">
        <v>13899.599999999999</v>
      </c>
      <c r="I56" s="83">
        <v>0.29749999999999999</v>
      </c>
      <c r="J56" s="8"/>
      <c r="K56" s="8"/>
      <c r="L56" s="8">
        <f t="shared" si="19"/>
        <v>0</v>
      </c>
      <c r="M56" s="8">
        <f t="shared" si="24"/>
        <v>0</v>
      </c>
      <c r="N56" s="8"/>
      <c r="O56" s="8"/>
      <c r="P56" s="8"/>
      <c r="Q56" s="8"/>
      <c r="R56" s="84"/>
      <c r="S56" s="8"/>
      <c r="T56" s="8"/>
    </row>
    <row r="57" spans="2:27" x14ac:dyDescent="0.35">
      <c r="B57" s="82" t="s">
        <v>49</v>
      </c>
      <c r="C57" t="s">
        <v>50</v>
      </c>
      <c r="D57" s="1">
        <v>2040</v>
      </c>
      <c r="E57" t="s">
        <v>51</v>
      </c>
      <c r="F57" s="8">
        <f t="shared" si="5"/>
        <v>103507537.23106197</v>
      </c>
      <c r="G57" s="85">
        <v>56699.060688808895</v>
      </c>
      <c r="H57" s="8">
        <v>1825.56</v>
      </c>
      <c r="I57" s="83">
        <v>0.28999999999999998</v>
      </c>
      <c r="J57" s="8"/>
      <c r="K57" s="8"/>
      <c r="L57" s="8">
        <f t="shared" si="19"/>
        <v>16442.727599754577</v>
      </c>
      <c r="M57" s="8">
        <f t="shared" si="24"/>
        <v>16442.727599754577</v>
      </c>
      <c r="R57" s="86"/>
      <c r="S57" s="8"/>
      <c r="T57" s="8"/>
    </row>
    <row r="58" spans="2:27" x14ac:dyDescent="0.35">
      <c r="B58" s="82" t="s">
        <v>52</v>
      </c>
      <c r="C58" t="s">
        <v>53</v>
      </c>
      <c r="D58" s="1">
        <v>2040</v>
      </c>
      <c r="E58" t="s">
        <v>54</v>
      </c>
      <c r="F58" s="8">
        <f t="shared" si="5"/>
        <v>4286413.6412469903</v>
      </c>
      <c r="G58" s="85">
        <v>1122.3916316436214</v>
      </c>
      <c r="H58" s="8">
        <v>3819</v>
      </c>
      <c r="I58" s="83">
        <v>0.28999999999999998</v>
      </c>
      <c r="J58" s="8"/>
      <c r="K58" s="8"/>
      <c r="L58" s="8">
        <f t="shared" si="19"/>
        <v>325.49357317665016</v>
      </c>
      <c r="M58" s="8">
        <f t="shared" si="24"/>
        <v>325.49357317665016</v>
      </c>
      <c r="R58" s="86"/>
      <c r="S58" s="8"/>
      <c r="T58" s="8"/>
    </row>
    <row r="59" spans="2:27" x14ac:dyDescent="0.35">
      <c r="B59" s="82" t="s">
        <v>17</v>
      </c>
      <c r="C59" t="s">
        <v>18</v>
      </c>
      <c r="D59" s="1">
        <v>2050</v>
      </c>
      <c r="E59" t="s">
        <v>19</v>
      </c>
      <c r="F59" s="8">
        <f t="shared" si="5"/>
        <v>19729108.404283345</v>
      </c>
      <c r="G59" s="85">
        <v>9031.6767957776119</v>
      </c>
      <c r="H59" s="8">
        <v>2184.43472351744</v>
      </c>
      <c r="I59" s="83">
        <v>0.23099999999999998</v>
      </c>
      <c r="J59" s="8"/>
      <c r="K59" s="8"/>
      <c r="L59" s="8"/>
      <c r="M59" s="8">
        <f t="shared" si="24"/>
        <v>2086.3173398246281</v>
      </c>
      <c r="N59" s="8">
        <v>330.52250880000003</v>
      </c>
      <c r="O59" s="8"/>
      <c r="P59" s="8"/>
      <c r="Q59" s="8"/>
      <c r="R59" s="84">
        <f>N59*G59</f>
        <v>2985172.4732111618</v>
      </c>
      <c r="S59" s="8"/>
      <c r="T59" s="8"/>
    </row>
    <row r="60" spans="2:27" x14ac:dyDescent="0.35">
      <c r="B60" s="82" t="s">
        <v>20</v>
      </c>
      <c r="C60" t="s">
        <v>21</v>
      </c>
      <c r="D60" s="1">
        <v>2050</v>
      </c>
      <c r="E60" t="s">
        <v>22</v>
      </c>
      <c r="F60" s="8">
        <f t="shared" si="5"/>
        <v>19156116.737157296</v>
      </c>
      <c r="G60" s="85">
        <v>4654.2238756115257</v>
      </c>
      <c r="H60" s="8">
        <v>4115.8563165679998</v>
      </c>
      <c r="I60" s="83">
        <v>0.36549999999999999</v>
      </c>
      <c r="J60" s="8"/>
      <c r="K60" s="8"/>
      <c r="L60" s="8"/>
      <c r="M60" s="8">
        <f t="shared" si="24"/>
        <v>1701.1188265360126</v>
      </c>
      <c r="N60" s="8">
        <v>402.68658988799996</v>
      </c>
      <c r="O60" s="8"/>
      <c r="P60" s="8"/>
      <c r="Q60" s="8"/>
      <c r="R60" s="84">
        <f t="shared" ref="R60:R63" si="27">N60*G60</f>
        <v>1874193.5410453163</v>
      </c>
      <c r="S60" s="8"/>
      <c r="T60" s="8"/>
    </row>
    <row r="61" spans="2:27" x14ac:dyDescent="0.35">
      <c r="B61" s="82" t="s">
        <v>23</v>
      </c>
      <c r="C61" t="s">
        <v>24</v>
      </c>
      <c r="D61" s="1">
        <v>2050</v>
      </c>
      <c r="E61" t="s">
        <v>25</v>
      </c>
      <c r="F61" s="8">
        <f t="shared" si="5"/>
        <v>27863641.019953065</v>
      </c>
      <c r="G61" s="85">
        <v>14153.600039465744</v>
      </c>
      <c r="H61" s="8">
        <v>1968.6610432863999</v>
      </c>
      <c r="I61" s="83">
        <v>0.29749999999999999</v>
      </c>
      <c r="J61" s="8"/>
      <c r="K61" s="8"/>
      <c r="L61" s="8"/>
      <c r="M61" s="8">
        <f t="shared" si="24"/>
        <v>4210.696011741059</v>
      </c>
      <c r="N61" s="8">
        <v>312.16014719999998</v>
      </c>
      <c r="O61" s="8"/>
      <c r="P61" s="8"/>
      <c r="Q61" s="8"/>
      <c r="R61" s="84">
        <f t="shared" si="27"/>
        <v>4418189.8717295518</v>
      </c>
      <c r="S61" s="8"/>
    </row>
    <row r="62" spans="2:27" x14ac:dyDescent="0.35">
      <c r="B62" s="82" t="s">
        <v>26</v>
      </c>
      <c r="C62" t="s">
        <v>27</v>
      </c>
      <c r="D62" s="1">
        <v>2050</v>
      </c>
      <c r="E62" t="s">
        <v>28</v>
      </c>
      <c r="F62" s="8">
        <f t="shared" si="5"/>
        <v>70203887.702067092</v>
      </c>
      <c r="G62" s="85">
        <v>37077.912479504696</v>
      </c>
      <c r="H62" s="8">
        <v>1893.415324848</v>
      </c>
      <c r="I62" s="83">
        <v>0.48449999999999993</v>
      </c>
      <c r="J62" s="8"/>
      <c r="K62" s="8"/>
      <c r="L62" s="8"/>
      <c r="M62" s="8">
        <f t="shared" si="24"/>
        <v>17964.248596320023</v>
      </c>
      <c r="N62" s="8">
        <v>238.802512608</v>
      </c>
      <c r="O62" s="8"/>
      <c r="P62" s="8"/>
      <c r="Q62" s="8"/>
      <c r="R62" s="84">
        <f t="shared" si="27"/>
        <v>8854298.662365241</v>
      </c>
    </row>
    <row r="63" spans="2:27" x14ac:dyDescent="0.35">
      <c r="B63" s="82" t="s">
        <v>29</v>
      </c>
      <c r="C63" t="s">
        <v>24</v>
      </c>
      <c r="D63" s="1">
        <v>2050</v>
      </c>
      <c r="E63" t="s">
        <v>30</v>
      </c>
      <c r="F63" s="8">
        <f t="shared" si="5"/>
        <v>1509465.631812406</v>
      </c>
      <c r="G63" s="85">
        <v>1647.1414116331714</v>
      </c>
      <c r="H63" s="8">
        <v>916.41532484799995</v>
      </c>
      <c r="I63" s="83">
        <v>0.32300000000000001</v>
      </c>
      <c r="J63" s="8"/>
      <c r="K63" s="8"/>
      <c r="L63" s="8"/>
      <c r="M63" s="8">
        <f t="shared" si="24"/>
        <v>532.02667595751439</v>
      </c>
      <c r="N63" s="8">
        <v>238.802512608</v>
      </c>
      <c r="O63" s="8"/>
      <c r="P63" s="8"/>
      <c r="Q63" s="8"/>
      <c r="R63" s="84">
        <f t="shared" si="27"/>
        <v>393341.50771868933</v>
      </c>
    </row>
    <row r="64" spans="2:27" x14ac:dyDescent="0.35">
      <c r="B64" s="82" t="s">
        <v>31</v>
      </c>
      <c r="C64" t="s">
        <v>32</v>
      </c>
      <c r="D64" s="1">
        <v>2050</v>
      </c>
      <c r="E64" t="s">
        <v>33</v>
      </c>
      <c r="F64" s="8">
        <f t="shared" si="5"/>
        <v>2.5286074065084072E-8</v>
      </c>
      <c r="G64" s="85">
        <v>3.9107417589600779E-12</v>
      </c>
      <c r="H64" s="8">
        <v>6465.8</v>
      </c>
      <c r="I64" s="83">
        <v>0.62</v>
      </c>
      <c r="J64" s="8"/>
      <c r="K64" s="8"/>
      <c r="L64" s="8"/>
      <c r="M64" s="8">
        <f t="shared" si="24"/>
        <v>2.4246598905552484E-12</v>
      </c>
      <c r="N64" s="8"/>
      <c r="O64" s="8"/>
      <c r="P64" s="8"/>
      <c r="Q64" s="8"/>
      <c r="R64" s="84"/>
    </row>
    <row r="65" spans="2:18" x14ac:dyDescent="0.35">
      <c r="B65" s="82" t="s">
        <v>34</v>
      </c>
      <c r="C65" t="s">
        <v>35</v>
      </c>
      <c r="D65" s="1">
        <v>2050</v>
      </c>
      <c r="E65" t="s">
        <v>36</v>
      </c>
      <c r="F65" s="8">
        <f t="shared" si="5"/>
        <v>0</v>
      </c>
      <c r="G65" s="85">
        <v>0</v>
      </c>
      <c r="H65" s="8">
        <v>6026.8</v>
      </c>
      <c r="I65" s="83">
        <v>0.62</v>
      </c>
      <c r="J65" s="8"/>
      <c r="K65" s="8"/>
      <c r="L65" s="8"/>
      <c r="M65" s="8">
        <f t="shared" si="24"/>
        <v>0</v>
      </c>
      <c r="N65" s="8"/>
      <c r="O65" s="8"/>
      <c r="P65" s="8"/>
      <c r="Q65" s="8"/>
      <c r="R65" s="84"/>
    </row>
    <row r="66" spans="2:18" x14ac:dyDescent="0.35">
      <c r="B66" s="82" t="s">
        <v>37</v>
      </c>
      <c r="C66" t="s">
        <v>38</v>
      </c>
      <c r="D66" s="1">
        <v>2050</v>
      </c>
      <c r="E66" t="s">
        <v>39</v>
      </c>
      <c r="F66" s="8">
        <f t="shared" si="5"/>
        <v>0</v>
      </c>
      <c r="G66" s="85">
        <v>0</v>
      </c>
      <c r="H66" s="8">
        <v>7025.8</v>
      </c>
      <c r="I66" s="83">
        <v>0.62</v>
      </c>
      <c r="J66" s="8"/>
      <c r="K66" s="8"/>
      <c r="L66" s="8"/>
      <c r="M66" s="8">
        <f t="shared" si="24"/>
        <v>0</v>
      </c>
      <c r="N66" s="8"/>
      <c r="O66" s="8"/>
      <c r="P66" s="8"/>
      <c r="Q66" s="8"/>
      <c r="R66" s="84"/>
    </row>
    <row r="67" spans="2:18" x14ac:dyDescent="0.35">
      <c r="B67" s="82" t="s">
        <v>40</v>
      </c>
      <c r="C67" t="s">
        <v>41</v>
      </c>
      <c r="D67" s="1">
        <v>2050</v>
      </c>
      <c r="E67" t="s">
        <v>42</v>
      </c>
      <c r="F67" s="8">
        <f t="shared" si="5"/>
        <v>171282230.60166124</v>
      </c>
      <c r="G67" s="85">
        <v>34543.641959584231</v>
      </c>
      <c r="H67" s="8">
        <v>4958.43</v>
      </c>
      <c r="I67" s="83">
        <v>0.33</v>
      </c>
      <c r="J67" s="8"/>
      <c r="K67" s="8"/>
      <c r="L67" s="8"/>
      <c r="M67" s="8">
        <f t="shared" si="24"/>
        <v>11399.401846662797</v>
      </c>
      <c r="N67" s="8"/>
      <c r="O67" s="8"/>
      <c r="P67" s="8"/>
      <c r="Q67" s="8"/>
      <c r="R67" s="84"/>
    </row>
    <row r="68" spans="2:18" x14ac:dyDescent="0.35">
      <c r="B68" s="82" t="s">
        <v>43</v>
      </c>
      <c r="C68" t="s">
        <v>44</v>
      </c>
      <c r="D68" s="1">
        <v>2050</v>
      </c>
      <c r="E68" t="s">
        <v>45</v>
      </c>
      <c r="F68" s="8">
        <f t="shared" si="5"/>
        <v>52648635.773466267</v>
      </c>
      <c r="G68" s="85">
        <v>7797.7993452739174</v>
      </c>
      <c r="H68" s="8">
        <v>6751.73</v>
      </c>
      <c r="I68" s="83">
        <v>0.24</v>
      </c>
      <c r="J68" s="8"/>
      <c r="K68" s="8"/>
      <c r="L68" s="8"/>
      <c r="M68" s="8">
        <f t="shared" si="24"/>
        <v>1871.4718428657402</v>
      </c>
      <c r="N68" s="8"/>
      <c r="O68" s="8"/>
      <c r="P68" s="8"/>
      <c r="Q68" s="8"/>
      <c r="R68" s="84"/>
    </row>
    <row r="69" spans="2:18" x14ac:dyDescent="0.35">
      <c r="B69" s="82" t="s">
        <v>46</v>
      </c>
      <c r="C69" t="s">
        <v>47</v>
      </c>
      <c r="D69" s="1">
        <v>2050</v>
      </c>
      <c r="E69" t="s">
        <v>48</v>
      </c>
      <c r="F69" s="8">
        <f t="shared" si="5"/>
        <v>0</v>
      </c>
      <c r="G69" s="85">
        <v>0</v>
      </c>
      <c r="H69" s="8">
        <v>13899.599999999999</v>
      </c>
      <c r="I69" s="83">
        <v>0.29749999999999999</v>
      </c>
      <c r="J69" s="8"/>
      <c r="K69" s="8"/>
      <c r="L69" s="8"/>
      <c r="M69" s="8">
        <f t="shared" si="24"/>
        <v>0</v>
      </c>
      <c r="N69" s="8"/>
      <c r="O69" s="8"/>
      <c r="P69" s="8"/>
      <c r="Q69" s="8"/>
      <c r="R69" s="84"/>
    </row>
    <row r="70" spans="2:18" x14ac:dyDescent="0.35">
      <c r="B70" s="82" t="s">
        <v>49</v>
      </c>
      <c r="C70" t="s">
        <v>50</v>
      </c>
      <c r="D70" s="1">
        <v>2050</v>
      </c>
      <c r="E70" t="s">
        <v>51</v>
      </c>
      <c r="F70" s="8">
        <f t="shared" si="5"/>
        <v>55352303.489181042</v>
      </c>
      <c r="G70" s="85">
        <v>34379.672111191117</v>
      </c>
      <c r="H70" s="8">
        <v>1610.0300000000002</v>
      </c>
      <c r="I70" s="83">
        <v>0.28999999999999998</v>
      </c>
      <c r="J70" s="8"/>
      <c r="K70" s="8"/>
      <c r="L70" s="8"/>
      <c r="M70" s="8">
        <f t="shared" si="24"/>
        <v>9970.1049122454242</v>
      </c>
      <c r="R70" s="86"/>
    </row>
    <row r="71" spans="2:18" ht="16" thickBot="1" x14ac:dyDescent="0.4">
      <c r="B71" s="14" t="s">
        <v>52</v>
      </c>
      <c r="C71" s="15" t="s">
        <v>53</v>
      </c>
      <c r="D71" s="87">
        <v>2050</v>
      </c>
      <c r="E71" s="15" t="s">
        <v>54</v>
      </c>
      <c r="F71" s="88">
        <f t="shared" si="5"/>
        <v>18902231.729633015</v>
      </c>
      <c r="G71" s="85">
        <v>4949.5238883563798</v>
      </c>
      <c r="H71" s="88">
        <v>3819</v>
      </c>
      <c r="I71" s="89">
        <v>0.28999999999999998</v>
      </c>
      <c r="J71" s="88"/>
      <c r="K71" s="88"/>
      <c r="L71" s="88"/>
      <c r="M71" s="88">
        <f t="shared" si="24"/>
        <v>1435.3619276233501</v>
      </c>
      <c r="N71" s="15"/>
      <c r="O71" s="15"/>
      <c r="P71" s="15"/>
      <c r="Q71" s="15"/>
      <c r="R71" s="90"/>
    </row>
  </sheetData>
  <mergeCells count="2">
    <mergeCell ref="I5:I6"/>
    <mergeCell ref="N5:N6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backtoone">
                <anchor moveWithCells="1" sizeWithCells="1">
                  <from>
                    <xdr:col>25</xdr:col>
                    <xdr:colOff>114300</xdr:colOff>
                    <xdr:row>0</xdr:row>
                    <xdr:rowOff>165100</xdr:rowOff>
                  </from>
                  <to>
                    <xdr:col>26</xdr:col>
                    <xdr:colOff>800100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A7E3-0971-9143-9327-D717214AFAC1}">
  <sheetPr codeName="Sheet5"/>
  <dimension ref="B1:AB71"/>
  <sheetViews>
    <sheetView zoomScaleNormal="100" workbookViewId="0">
      <selection activeCell="AA18" sqref="W18:AA18"/>
    </sheetView>
  </sheetViews>
  <sheetFormatPr defaultColWidth="11" defaultRowHeight="15.5" x14ac:dyDescent="0.35"/>
  <cols>
    <col min="1" max="1" width="3.69140625" customWidth="1"/>
    <col min="2" max="2" width="8" customWidth="1"/>
    <col min="3" max="3" width="12.15234375" customWidth="1"/>
    <col min="4" max="4" width="11" style="1"/>
    <col min="5" max="5" width="35.4609375" customWidth="1"/>
    <col min="6" max="6" width="16.4609375" customWidth="1"/>
    <col min="7" max="7" width="11" style="1"/>
    <col min="8" max="8" width="16.84375" customWidth="1"/>
    <col min="9" max="9" width="11.69140625" customWidth="1"/>
    <col min="15" max="18" width="13.3046875" customWidth="1"/>
    <col min="19" max="19" width="7.69140625" customWidth="1"/>
    <col min="22" max="22" width="33.84375" customWidth="1"/>
    <col min="46" max="46" width="17.4609375" customWidth="1"/>
    <col min="47" max="47" width="16.69140625" customWidth="1"/>
    <col min="48" max="48" width="23" customWidth="1"/>
  </cols>
  <sheetData>
    <row r="1" spans="2:27" x14ac:dyDescent="0.35">
      <c r="H1" s="2" t="s">
        <v>0</v>
      </c>
      <c r="I1" s="2"/>
      <c r="J1" s="3">
        <v>85000</v>
      </c>
      <c r="K1" s="3">
        <f>'Demand&amp;Emission'!$G$5</f>
        <v>110709.73811237721</v>
      </c>
      <c r="L1" s="3">
        <f>'Demand&amp;Emission'!$G$7</f>
        <v>135114.36651379176</v>
      </c>
      <c r="M1" s="3">
        <f>'Demand&amp;Emission'!$G$9</f>
        <v>155478.49352424362</v>
      </c>
      <c r="N1" s="3"/>
      <c r="O1" s="3">
        <f>'Demand&amp;Emission'!D15</f>
        <v>14743454.520822814</v>
      </c>
      <c r="P1" s="3">
        <f>'Demand&amp;Emission'!E15</f>
        <v>18749269.933633734</v>
      </c>
      <c r="Q1" s="3">
        <f>'Demand&amp;Emission'!F15</f>
        <v>24443988.692013618</v>
      </c>
      <c r="R1" s="3">
        <f>'Demand&amp;Emission'!G15</f>
        <v>31491217.587272264</v>
      </c>
      <c r="S1" s="4"/>
    </row>
    <row r="2" spans="2:27" ht="16" thickBot="1" x14ac:dyDescent="0.4">
      <c r="H2" s="2"/>
      <c r="I2" s="2"/>
      <c r="J2" s="4" t="s">
        <v>1</v>
      </c>
      <c r="K2" s="4" t="s">
        <v>1</v>
      </c>
      <c r="L2" s="4" t="s">
        <v>1</v>
      </c>
      <c r="M2" s="4" t="s">
        <v>1</v>
      </c>
      <c r="N2" s="4"/>
      <c r="O2" s="4" t="s">
        <v>2</v>
      </c>
      <c r="P2" s="4" t="s">
        <v>2</v>
      </c>
      <c r="Q2" s="4" t="s">
        <v>2</v>
      </c>
      <c r="R2" s="4" t="s">
        <v>2</v>
      </c>
      <c r="S2" s="1"/>
      <c r="T2" s="1"/>
    </row>
    <row r="3" spans="2:27" x14ac:dyDescent="0.35">
      <c r="H3" s="91" t="s">
        <v>3</v>
      </c>
      <c r="I3" s="92"/>
      <c r="J3" s="93">
        <f>SUM(J7:J32)</f>
        <v>85000</v>
      </c>
      <c r="K3" s="93">
        <f>SUM(K7:K45)</f>
        <v>110709.73811237715</v>
      </c>
      <c r="L3" s="93">
        <f>SUM(L7:L58)</f>
        <v>135114.36645230753</v>
      </c>
      <c r="M3" s="93">
        <f>SUM(M7:M71)</f>
        <v>155478.49344833809</v>
      </c>
      <c r="N3" s="93"/>
      <c r="O3" s="93">
        <f>SUM(O7:O24)</f>
        <v>14743454.608894598</v>
      </c>
      <c r="P3" s="93">
        <f>SUM(P7:P37)</f>
        <v>18749269.969403572</v>
      </c>
      <c r="Q3" s="93">
        <f>SUM(Q7:Q50)</f>
        <v>22223222.971200518</v>
      </c>
      <c r="R3" s="94">
        <f>SUM(R7:R63)</f>
        <v>31491217.555566579</v>
      </c>
      <c r="S3" s="5"/>
      <c r="T3" s="5"/>
    </row>
    <row r="4" spans="2:27" ht="16" thickBot="1" x14ac:dyDescent="0.4">
      <c r="H4" s="95"/>
      <c r="I4" s="96"/>
      <c r="J4" s="16"/>
      <c r="K4" s="16"/>
      <c r="L4" s="16"/>
      <c r="M4" s="16"/>
      <c r="N4" s="16"/>
      <c r="O4" s="16"/>
      <c r="P4" s="16"/>
      <c r="Q4" s="16"/>
      <c r="R4" s="17"/>
      <c r="S4" s="5"/>
      <c r="T4" s="5"/>
    </row>
    <row r="5" spans="2:27" x14ac:dyDescent="0.35">
      <c r="B5" s="12"/>
      <c r="C5" s="13"/>
      <c r="D5" s="68"/>
      <c r="E5" s="69" t="s">
        <v>4</v>
      </c>
      <c r="F5" s="70">
        <f>SUM(F7:F19)+SUM(F20:F32)/1.05^(2)+SUM(F33:F45)/1.05^(12)+SUM(F46:F58)/1.05^(22)+SUM(F59:F71)/1.05^(32)</f>
        <v>675813206.55054343</v>
      </c>
      <c r="G5" s="68"/>
      <c r="H5" s="13"/>
      <c r="I5" s="128" t="s">
        <v>5</v>
      </c>
      <c r="J5" s="71" t="s">
        <v>6</v>
      </c>
      <c r="K5" s="72"/>
      <c r="L5" s="72"/>
      <c r="M5" s="72"/>
      <c r="N5" s="130" t="s">
        <v>7</v>
      </c>
      <c r="O5" s="73" t="s">
        <v>8</v>
      </c>
      <c r="P5" s="74"/>
      <c r="Q5" s="74"/>
      <c r="R5" s="75"/>
      <c r="S5" s="97"/>
      <c r="T5" s="98" t="s">
        <v>9</v>
      </c>
      <c r="U5" s="99"/>
      <c r="V5" s="13"/>
      <c r="W5" s="13"/>
      <c r="X5" s="13"/>
      <c r="Y5" s="13"/>
      <c r="Z5" s="13"/>
      <c r="AA5" s="100"/>
    </row>
    <row r="6" spans="2:27" x14ac:dyDescent="0.35">
      <c r="B6" s="76" t="s">
        <v>10</v>
      </c>
      <c r="C6" s="77" t="s">
        <v>11</v>
      </c>
      <c r="D6" s="77" t="s">
        <v>12</v>
      </c>
      <c r="E6" s="77" t="s">
        <v>13</v>
      </c>
      <c r="F6" s="78" t="s">
        <v>14</v>
      </c>
      <c r="G6" s="78" t="s">
        <v>15</v>
      </c>
      <c r="H6" s="78" t="s">
        <v>16</v>
      </c>
      <c r="I6" s="129"/>
      <c r="J6" s="79">
        <v>2020</v>
      </c>
      <c r="K6" s="79">
        <v>2030</v>
      </c>
      <c r="L6" s="79">
        <v>2040</v>
      </c>
      <c r="M6" s="79">
        <v>2050</v>
      </c>
      <c r="N6" s="131"/>
      <c r="O6" s="80">
        <v>2020</v>
      </c>
      <c r="P6" s="80">
        <v>2030</v>
      </c>
      <c r="Q6" s="80">
        <v>2040</v>
      </c>
      <c r="R6" s="81">
        <v>2050</v>
      </c>
      <c r="S6" s="76"/>
      <c r="T6" s="7" t="s">
        <v>10</v>
      </c>
      <c r="U6" s="7" t="s">
        <v>11</v>
      </c>
      <c r="V6" s="7"/>
      <c r="W6" s="7">
        <v>2018</v>
      </c>
      <c r="X6" s="7">
        <v>2020</v>
      </c>
      <c r="Y6" s="7">
        <v>2030</v>
      </c>
      <c r="Z6" s="7">
        <v>2040</v>
      </c>
      <c r="AA6" s="101">
        <v>2050</v>
      </c>
    </row>
    <row r="7" spans="2:27" x14ac:dyDescent="0.35">
      <c r="B7" s="82" t="s">
        <v>17</v>
      </c>
      <c r="C7" t="s">
        <v>18</v>
      </c>
      <c r="D7" s="1">
        <v>2018</v>
      </c>
      <c r="E7" t="s">
        <v>19</v>
      </c>
      <c r="F7" s="8">
        <v>3429074.8266025591</v>
      </c>
      <c r="G7" s="8">
        <v>12271.47</v>
      </c>
      <c r="H7" s="8">
        <v>279.43472351743998</v>
      </c>
      <c r="I7" s="83">
        <v>0.23099999999999998</v>
      </c>
      <c r="J7" s="8">
        <v>2834.7095699999995</v>
      </c>
      <c r="K7" s="8">
        <v>2834.7095699999995</v>
      </c>
      <c r="L7" s="8"/>
      <c r="M7" s="8"/>
      <c r="N7" s="8">
        <v>330.52250880000003</v>
      </c>
      <c r="O7" s="8">
        <v>4055997.0510639362</v>
      </c>
      <c r="P7" s="8">
        <v>4055997.0510639362</v>
      </c>
      <c r="Q7" s="8"/>
      <c r="R7" s="84"/>
      <c r="S7" s="102"/>
      <c r="T7" t="s">
        <v>17</v>
      </c>
      <c r="U7" t="s">
        <v>18</v>
      </c>
      <c r="V7" s="5" t="s">
        <v>19</v>
      </c>
      <c r="W7" s="5">
        <f>G7</f>
        <v>12271.47</v>
      </c>
      <c r="X7" s="5">
        <f t="shared" ref="X7:X17" si="0">G7+G20</f>
        <v>12271.47</v>
      </c>
      <c r="Y7" s="5">
        <f t="shared" ref="Y7:Y19" si="1">G7+G20+G33</f>
        <v>12271.47</v>
      </c>
      <c r="Z7" s="5">
        <f>G20+G33+G46</f>
        <v>1.1151126498020256E-13</v>
      </c>
      <c r="AA7" s="103">
        <f>G33+G46+G59</f>
        <v>9750.8175691302931</v>
      </c>
    </row>
    <row r="8" spans="2:27" x14ac:dyDescent="0.35">
      <c r="B8" s="82" t="s">
        <v>20</v>
      </c>
      <c r="C8" t="s">
        <v>21</v>
      </c>
      <c r="D8" s="1">
        <v>2018</v>
      </c>
      <c r="E8" t="s">
        <v>22</v>
      </c>
      <c r="F8" s="8">
        <v>6686709.3586083837</v>
      </c>
      <c r="G8" s="8">
        <v>4145.5</v>
      </c>
      <c r="H8" s="8">
        <v>1613.0043079504001</v>
      </c>
      <c r="I8" s="83">
        <v>0.36549999999999999</v>
      </c>
      <c r="J8" s="8">
        <v>1515.1802499999999</v>
      </c>
      <c r="K8" s="8">
        <v>1515.1802499999999</v>
      </c>
      <c r="L8" s="8">
        <v>1515.1802499999999</v>
      </c>
      <c r="M8" s="8">
        <v>1515.1802499999999</v>
      </c>
      <c r="N8" s="8">
        <v>402.68658988799996</v>
      </c>
      <c r="O8" s="8">
        <v>1669337.2583807039</v>
      </c>
      <c r="P8" s="8">
        <v>1669337.2583807039</v>
      </c>
      <c r="Q8" s="8">
        <v>1669337.2583807039</v>
      </c>
      <c r="R8" s="84">
        <v>1669337.2583807039</v>
      </c>
      <c r="S8" s="102"/>
      <c r="T8" t="s">
        <v>20</v>
      </c>
      <c r="U8" t="s">
        <v>21</v>
      </c>
      <c r="V8" s="5" t="s">
        <v>22</v>
      </c>
      <c r="W8" s="5">
        <f t="shared" ref="W8:W17" si="2">G8</f>
        <v>4145.5</v>
      </c>
      <c r="X8" s="5">
        <f t="shared" si="0"/>
        <v>4145.5</v>
      </c>
      <c r="Y8" s="5">
        <f t="shared" si="1"/>
        <v>4145.5</v>
      </c>
      <c r="Z8" s="5">
        <f>G8+G21+G34+G47</f>
        <v>4145.5</v>
      </c>
      <c r="AA8" s="103">
        <f>G8+G21+G34+G47+G60</f>
        <v>12585.562894080003</v>
      </c>
    </row>
    <row r="9" spans="2:27" x14ac:dyDescent="0.35">
      <c r="B9" s="82" t="s">
        <v>23</v>
      </c>
      <c r="C9" t="s">
        <v>24</v>
      </c>
      <c r="D9" s="1">
        <v>2018</v>
      </c>
      <c r="E9" t="s">
        <v>25</v>
      </c>
      <c r="F9" s="8">
        <v>7417317.7082693037</v>
      </c>
      <c r="G9" s="8">
        <v>13403.16</v>
      </c>
      <c r="H9" s="8">
        <v>553.40066881760004</v>
      </c>
      <c r="I9" s="83">
        <v>0.29749999999999999</v>
      </c>
      <c r="J9" s="8">
        <v>3987.4400999999998</v>
      </c>
      <c r="K9" s="8">
        <v>3987.4400999999998</v>
      </c>
      <c r="L9" s="8"/>
      <c r="M9" s="8"/>
      <c r="N9" s="8">
        <v>312.16014719999998</v>
      </c>
      <c r="O9" s="8">
        <v>4183932.3985451516</v>
      </c>
      <c r="P9" s="8">
        <v>4183932.3985451516</v>
      </c>
      <c r="Q9" s="8"/>
      <c r="R9" s="84"/>
      <c r="S9" s="102"/>
      <c r="T9" t="s">
        <v>23</v>
      </c>
      <c r="U9" t="s">
        <v>24</v>
      </c>
      <c r="V9" s="5" t="s">
        <v>25</v>
      </c>
      <c r="W9" s="5">
        <f t="shared" si="2"/>
        <v>13403.16</v>
      </c>
      <c r="X9" s="5">
        <f t="shared" si="0"/>
        <v>13585.180220661952</v>
      </c>
      <c r="Y9" s="5">
        <f t="shared" si="1"/>
        <v>15055.8901535736</v>
      </c>
      <c r="Z9" s="5">
        <f>G22+G35+G48</f>
        <v>30826.839098880009</v>
      </c>
      <c r="AA9" s="103">
        <f>G35+G48+G61</f>
        <v>40691.427610521721</v>
      </c>
    </row>
    <row r="10" spans="2:27" x14ac:dyDescent="0.35">
      <c r="B10" s="82" t="s">
        <v>26</v>
      </c>
      <c r="C10" t="s">
        <v>27</v>
      </c>
      <c r="D10" s="1">
        <v>2018</v>
      </c>
      <c r="E10" t="s">
        <v>28</v>
      </c>
      <c r="F10" s="8">
        <v>11866748.336114556</v>
      </c>
      <c r="G10" s="8">
        <v>19287.36</v>
      </c>
      <c r="H10" s="8">
        <v>615.26037446880002</v>
      </c>
      <c r="I10" s="83">
        <v>0.48449999999999993</v>
      </c>
      <c r="J10" s="8">
        <v>9344.725919999999</v>
      </c>
      <c r="K10" s="8">
        <v>9344.725919999999</v>
      </c>
      <c r="L10" s="8">
        <v>9344.725919999999</v>
      </c>
      <c r="M10" s="8"/>
      <c r="N10" s="8">
        <v>238.802512608</v>
      </c>
      <c r="O10" s="8">
        <v>4605870.029575035</v>
      </c>
      <c r="P10" s="8">
        <v>4605870.029575035</v>
      </c>
      <c r="Q10" s="8">
        <v>4605870.029575035</v>
      </c>
      <c r="R10" s="84"/>
      <c r="S10" s="102"/>
      <c r="T10" t="s">
        <v>26</v>
      </c>
      <c r="U10" t="s">
        <v>27</v>
      </c>
      <c r="V10" s="5" t="s">
        <v>28</v>
      </c>
      <c r="W10" s="5">
        <f t="shared" si="2"/>
        <v>19287.36</v>
      </c>
      <c r="X10" s="5">
        <f t="shared" si="0"/>
        <v>19287.36</v>
      </c>
      <c r="Y10" s="5">
        <f t="shared" si="1"/>
        <v>33606.296064000002</v>
      </c>
      <c r="Z10" s="5">
        <f t="shared" ref="Z10:Z15" si="3">G10+G23+G36+G49</f>
        <v>44360.310804480003</v>
      </c>
      <c r="AA10" s="103">
        <f>G23+G36+G49+G62</f>
        <v>58555.610261913607</v>
      </c>
    </row>
    <row r="11" spans="2:27" x14ac:dyDescent="0.35">
      <c r="B11" s="82" t="s">
        <v>29</v>
      </c>
      <c r="C11" t="s">
        <v>24</v>
      </c>
      <c r="D11" s="1">
        <v>2018</v>
      </c>
      <c r="E11" t="s">
        <v>30</v>
      </c>
      <c r="F11" s="8">
        <v>226407.39052851341</v>
      </c>
      <c r="G11" s="8">
        <v>718.16</v>
      </c>
      <c r="H11" s="8">
        <v>315.26037446880002</v>
      </c>
      <c r="I11" s="83">
        <v>0.32300000000000001</v>
      </c>
      <c r="J11" s="8">
        <v>231.96567999999999</v>
      </c>
      <c r="K11" s="8">
        <v>231.96567999999999</v>
      </c>
      <c r="L11" s="8">
        <v>231.96567999999999</v>
      </c>
      <c r="M11" s="8"/>
      <c r="N11" s="8">
        <v>238.802512608</v>
      </c>
      <c r="O11" s="8">
        <v>171498.41245456127</v>
      </c>
      <c r="P11" s="8">
        <v>171498.41245456127</v>
      </c>
      <c r="Q11" s="8">
        <v>171498.41245456127</v>
      </c>
      <c r="R11" s="84"/>
      <c r="S11" s="102"/>
      <c r="T11" t="s">
        <v>29</v>
      </c>
      <c r="U11" t="s">
        <v>24</v>
      </c>
      <c r="V11" s="5" t="s">
        <v>30</v>
      </c>
      <c r="W11" s="5">
        <f t="shared" si="2"/>
        <v>718.16</v>
      </c>
      <c r="X11" s="5">
        <f t="shared" si="0"/>
        <v>718.16</v>
      </c>
      <c r="Y11" s="5">
        <f t="shared" si="1"/>
        <v>1251.3219839999999</v>
      </c>
      <c r="Z11" s="5">
        <f t="shared" si="3"/>
        <v>1651.7450188800003</v>
      </c>
      <c r="AA11" s="103">
        <f>G24+G37+G50+G63</f>
        <v>2180.3034249216003</v>
      </c>
    </row>
    <row r="12" spans="2:27" x14ac:dyDescent="0.35">
      <c r="B12" s="82" t="s">
        <v>31</v>
      </c>
      <c r="C12" t="s">
        <v>32</v>
      </c>
      <c r="D12" s="1">
        <v>2018</v>
      </c>
      <c r="E12" t="s">
        <v>33</v>
      </c>
      <c r="F12" s="8">
        <v>313133991.60000002</v>
      </c>
      <c r="G12" s="8">
        <v>88787</v>
      </c>
      <c r="H12" s="8">
        <v>3526.8</v>
      </c>
      <c r="I12" s="83">
        <v>0.62</v>
      </c>
      <c r="J12" s="8">
        <v>55047.94</v>
      </c>
      <c r="K12" s="8">
        <v>55047.94</v>
      </c>
      <c r="L12" s="8">
        <v>55047.94</v>
      </c>
      <c r="M12" s="8">
        <v>55047.94</v>
      </c>
      <c r="N12" s="8"/>
      <c r="O12" s="8"/>
      <c r="P12" s="8"/>
      <c r="Q12" s="8"/>
      <c r="R12" s="84"/>
      <c r="S12" s="102"/>
      <c r="T12" t="s">
        <v>31</v>
      </c>
      <c r="U12" t="s">
        <v>32</v>
      </c>
      <c r="V12" s="5" t="s">
        <v>33</v>
      </c>
      <c r="W12" s="5">
        <f t="shared" si="2"/>
        <v>88787</v>
      </c>
      <c r="X12" s="5">
        <f t="shared" si="0"/>
        <v>88787</v>
      </c>
      <c r="Y12" s="5">
        <f t="shared" si="1"/>
        <v>88787</v>
      </c>
      <c r="Z12" s="5">
        <f t="shared" si="3"/>
        <v>88787</v>
      </c>
      <c r="AA12" s="103">
        <f>G12+G25+G38+G51+G64</f>
        <v>88787</v>
      </c>
    </row>
    <row r="13" spans="2:27" x14ac:dyDescent="0.35">
      <c r="B13" s="82" t="s">
        <v>34</v>
      </c>
      <c r="C13" t="s">
        <v>35</v>
      </c>
      <c r="D13" s="1">
        <v>2018</v>
      </c>
      <c r="E13" t="s">
        <v>36</v>
      </c>
      <c r="F13" s="8">
        <v>20751000</v>
      </c>
      <c r="G13" s="8">
        <v>6917</v>
      </c>
      <c r="H13" s="8">
        <v>3000</v>
      </c>
      <c r="I13" s="83">
        <v>0.62</v>
      </c>
      <c r="J13" s="8">
        <v>4288.54</v>
      </c>
      <c r="K13" s="8">
        <v>4288.54</v>
      </c>
      <c r="L13" s="8">
        <v>4288.54</v>
      </c>
      <c r="M13" s="8">
        <v>4288.54</v>
      </c>
      <c r="N13" s="8"/>
      <c r="O13" s="8"/>
      <c r="P13" s="8"/>
      <c r="Q13" s="8"/>
      <c r="R13" s="84"/>
      <c r="S13" s="102"/>
      <c r="T13" t="s">
        <v>34</v>
      </c>
      <c r="U13" t="s">
        <v>35</v>
      </c>
      <c r="V13" s="5" t="s">
        <v>36</v>
      </c>
      <c r="W13" s="5">
        <f t="shared" si="2"/>
        <v>6917</v>
      </c>
      <c r="X13" s="5">
        <f t="shared" si="0"/>
        <v>6917</v>
      </c>
      <c r="Y13" s="5">
        <f t="shared" si="1"/>
        <v>6917</v>
      </c>
      <c r="Z13" s="5">
        <f>G13+G26+G39+G52</f>
        <v>6917</v>
      </c>
      <c r="AA13" s="103">
        <f>G13+G26+G39+G52+G65</f>
        <v>6917</v>
      </c>
    </row>
    <row r="14" spans="2:27" x14ac:dyDescent="0.35">
      <c r="B14" s="82" t="s">
        <v>37</v>
      </c>
      <c r="C14" t="s">
        <v>38</v>
      </c>
      <c r="D14" s="1">
        <v>2018</v>
      </c>
      <c r="E14" t="s">
        <v>39</v>
      </c>
      <c r="F14" s="8">
        <v>4459125.6000000006</v>
      </c>
      <c r="G14" s="8">
        <v>1062</v>
      </c>
      <c r="H14" s="8">
        <v>4198.8</v>
      </c>
      <c r="I14" s="83">
        <v>0.62</v>
      </c>
      <c r="J14" s="8">
        <v>658.43999999999994</v>
      </c>
      <c r="K14" s="8">
        <v>658.43999999999994</v>
      </c>
      <c r="L14" s="8">
        <v>658.43999999999994</v>
      </c>
      <c r="M14" s="8">
        <v>658.43999999999994</v>
      </c>
      <c r="N14" s="8"/>
      <c r="O14" s="8"/>
      <c r="P14" s="8"/>
      <c r="Q14" s="8"/>
      <c r="R14" s="84"/>
      <c r="S14" s="102"/>
      <c r="T14" t="s">
        <v>37</v>
      </c>
      <c r="U14" t="s">
        <v>38</v>
      </c>
      <c r="V14" s="5" t="s">
        <v>39</v>
      </c>
      <c r="W14" s="5">
        <f t="shared" si="2"/>
        <v>1062</v>
      </c>
      <c r="X14" s="5">
        <f t="shared" si="0"/>
        <v>1062</v>
      </c>
      <c r="Y14" s="5">
        <f t="shared" si="1"/>
        <v>1062</v>
      </c>
      <c r="Z14" s="5">
        <f t="shared" si="3"/>
        <v>1062</v>
      </c>
      <c r="AA14" s="103">
        <f>G14+G27+G40+G53+G66</f>
        <v>1062</v>
      </c>
    </row>
    <row r="15" spans="2:27" x14ac:dyDescent="0.35">
      <c r="B15" s="82" t="s">
        <v>40</v>
      </c>
      <c r="C15" t="s">
        <v>41</v>
      </c>
      <c r="D15" s="1">
        <v>2018</v>
      </c>
      <c r="E15" t="s">
        <v>42</v>
      </c>
      <c r="F15" s="8">
        <v>21603731.379000001</v>
      </c>
      <c r="G15" s="8">
        <v>11378.17</v>
      </c>
      <c r="H15" s="8">
        <v>1898.7</v>
      </c>
      <c r="I15" s="83">
        <v>0.33</v>
      </c>
      <c r="J15" s="8">
        <v>3754.7961</v>
      </c>
      <c r="K15" s="8">
        <v>3754.7961</v>
      </c>
      <c r="L15" s="8">
        <v>3754.7961</v>
      </c>
      <c r="M15" s="8"/>
      <c r="N15" s="8"/>
      <c r="O15" s="8"/>
      <c r="P15" s="8"/>
      <c r="Q15" s="8"/>
      <c r="R15" s="84"/>
      <c r="S15" s="102"/>
      <c r="T15" t="s">
        <v>40</v>
      </c>
      <c r="U15" t="s">
        <v>41</v>
      </c>
      <c r="V15" s="5" t="s">
        <v>42</v>
      </c>
      <c r="W15" s="5">
        <f t="shared" si="2"/>
        <v>11378.17</v>
      </c>
      <c r="X15" s="5">
        <f t="shared" si="0"/>
        <v>11378.17</v>
      </c>
      <c r="Y15" s="5">
        <f t="shared" si="1"/>
        <v>22301.213199999995</v>
      </c>
      <c r="Z15" s="5">
        <f t="shared" si="3"/>
        <v>22301.213199999995</v>
      </c>
      <c r="AA15" s="103">
        <f>G28+G41+G54+G67</f>
        <v>35292.253529839298</v>
      </c>
    </row>
    <row r="16" spans="2:27" x14ac:dyDescent="0.35">
      <c r="B16" s="82" t="s">
        <v>43</v>
      </c>
      <c r="C16" t="s">
        <v>44</v>
      </c>
      <c r="D16" s="1">
        <v>2018</v>
      </c>
      <c r="E16" t="s">
        <v>45</v>
      </c>
      <c r="F16" s="8">
        <v>0</v>
      </c>
      <c r="G16" s="8">
        <v>0</v>
      </c>
      <c r="H16" s="8">
        <v>3142.6</v>
      </c>
      <c r="I16" s="83">
        <v>0.24</v>
      </c>
      <c r="J16" s="8">
        <v>0</v>
      </c>
      <c r="K16" s="8">
        <v>0</v>
      </c>
      <c r="L16" s="8"/>
      <c r="M16" s="8"/>
      <c r="N16" s="8"/>
      <c r="O16" s="8"/>
      <c r="P16" s="8"/>
      <c r="Q16" s="8"/>
      <c r="R16" s="84"/>
      <c r="S16" s="102"/>
      <c r="T16" t="s">
        <v>43</v>
      </c>
      <c r="U16" t="s">
        <v>44</v>
      </c>
      <c r="V16" s="5" t="s">
        <v>45</v>
      </c>
      <c r="W16" s="5">
        <f t="shared" si="2"/>
        <v>0</v>
      </c>
      <c r="X16" s="5">
        <f t="shared" si="0"/>
        <v>-5.7075982558009331E-15</v>
      </c>
      <c r="Y16" s="5">
        <f t="shared" si="1"/>
        <v>1.9374127443719383E-14</v>
      </c>
      <c r="Z16" s="5">
        <f>G29+G42+G55</f>
        <v>-8.509916642569461E-15</v>
      </c>
      <c r="AA16" s="103">
        <f>G42+G55+G68</f>
        <v>9.8483731263820372E-14</v>
      </c>
    </row>
    <row r="17" spans="2:27" x14ac:dyDescent="0.35">
      <c r="B17" s="82" t="s">
        <v>46</v>
      </c>
      <c r="C17" t="s">
        <v>47</v>
      </c>
      <c r="D17" s="1">
        <v>2018</v>
      </c>
      <c r="E17" t="s">
        <v>48</v>
      </c>
      <c r="F17" s="8">
        <v>15087383.999999998</v>
      </c>
      <c r="G17" s="8">
        <v>1990</v>
      </c>
      <c r="H17" s="8">
        <v>7581.5999999999995</v>
      </c>
      <c r="I17" s="83">
        <v>0.29749999999999999</v>
      </c>
      <c r="J17" s="8">
        <v>592.02499999999998</v>
      </c>
      <c r="K17" s="8">
        <v>592.02499999999998</v>
      </c>
      <c r="L17" s="8">
        <v>592.02499999999998</v>
      </c>
      <c r="M17" s="8">
        <v>592.02499999999998</v>
      </c>
      <c r="N17" s="8"/>
      <c r="O17" s="8"/>
      <c r="P17" s="8"/>
      <c r="Q17" s="8"/>
      <c r="R17" s="84"/>
      <c r="S17" s="102"/>
      <c r="T17" t="s">
        <v>46</v>
      </c>
      <c r="U17" t="s">
        <v>47</v>
      </c>
      <c r="V17" s="5" t="s">
        <v>48</v>
      </c>
      <c r="W17" s="5">
        <f t="shared" si="2"/>
        <v>1990</v>
      </c>
      <c r="X17" s="5">
        <f t="shared" si="0"/>
        <v>1990</v>
      </c>
      <c r="Y17" s="5">
        <f t="shared" si="1"/>
        <v>1990</v>
      </c>
      <c r="Z17" s="5">
        <f>G17+G30+G43+G56</f>
        <v>1990</v>
      </c>
      <c r="AA17" s="103">
        <f>G17+G30+G43+G56+G69</f>
        <v>1990</v>
      </c>
    </row>
    <row r="18" spans="2:27" x14ac:dyDescent="0.35">
      <c r="B18" s="82" t="s">
        <v>49</v>
      </c>
      <c r="C18" t="s">
        <v>50</v>
      </c>
      <c r="D18" s="1">
        <v>2018</v>
      </c>
      <c r="E18" t="s">
        <v>51</v>
      </c>
      <c r="F18" s="8">
        <v>2793.6000000000004</v>
      </c>
      <c r="G18" s="8">
        <v>6</v>
      </c>
      <c r="H18" s="8">
        <v>465.6</v>
      </c>
      <c r="I18" s="83">
        <v>0.28999999999999998</v>
      </c>
      <c r="J18" s="8">
        <v>1.7399999999999998</v>
      </c>
      <c r="K18" s="8">
        <v>1.7399999999999998</v>
      </c>
      <c r="L18" s="8"/>
      <c r="M18" s="8"/>
      <c r="N18" s="8"/>
      <c r="O18" s="8"/>
      <c r="P18" s="8"/>
      <c r="Q18" s="8"/>
      <c r="R18" s="84"/>
      <c r="S18" s="102"/>
      <c r="T18" t="s">
        <v>49</v>
      </c>
      <c r="U18" t="s">
        <v>50</v>
      </c>
      <c r="V18" s="5" t="s">
        <v>51</v>
      </c>
      <c r="W18" s="5">
        <f>G18</f>
        <v>6</v>
      </c>
      <c r="X18" s="5">
        <f>G18+G31</f>
        <v>9268.9298770795285</v>
      </c>
      <c r="Y18" s="5">
        <f t="shared" si="1"/>
        <v>58799.999999999993</v>
      </c>
      <c r="Z18" s="5">
        <f>G31+G44</f>
        <v>58793.999999999993</v>
      </c>
      <c r="AA18" s="103">
        <f>G70+G57</f>
        <v>115247.99999999997</v>
      </c>
    </row>
    <row r="19" spans="2:27" ht="16" thickBot="1" x14ac:dyDescent="0.4">
      <c r="B19" s="82" t="s">
        <v>52</v>
      </c>
      <c r="C19" t="s">
        <v>53</v>
      </c>
      <c r="D19" s="1">
        <v>2018</v>
      </c>
      <c r="E19" t="s">
        <v>54</v>
      </c>
      <c r="F19" s="8">
        <v>12493.44</v>
      </c>
      <c r="G19" s="8">
        <v>7.23</v>
      </c>
      <c r="H19" s="8">
        <v>1728</v>
      </c>
      <c r="I19" s="83">
        <v>0.28999999999999998</v>
      </c>
      <c r="J19" s="8">
        <v>2.0966999999999998</v>
      </c>
      <c r="K19" s="8">
        <v>2.0966999999999998</v>
      </c>
      <c r="L19" s="8"/>
      <c r="M19" s="8"/>
      <c r="N19" s="8"/>
      <c r="O19" s="8"/>
      <c r="P19" s="8"/>
      <c r="Q19" s="8"/>
      <c r="R19" s="84"/>
      <c r="S19" s="104"/>
      <c r="T19" s="15" t="s">
        <v>52</v>
      </c>
      <c r="U19" s="15" t="s">
        <v>53</v>
      </c>
      <c r="V19" s="16" t="s">
        <v>54</v>
      </c>
      <c r="W19" s="16">
        <f>G19</f>
        <v>7.23</v>
      </c>
      <c r="X19" s="16">
        <f>G19+G32</f>
        <v>7.2300000000000315</v>
      </c>
      <c r="Y19" s="16">
        <f t="shared" si="1"/>
        <v>675.68335120344773</v>
      </c>
      <c r="Z19" s="16">
        <f>G45+G58</f>
        <v>668.45335120344771</v>
      </c>
      <c r="AA19" s="17">
        <f>G71+G58</f>
        <v>7683.199999999998</v>
      </c>
    </row>
    <row r="20" spans="2:27" x14ac:dyDescent="0.35">
      <c r="B20" s="82" t="s">
        <v>17</v>
      </c>
      <c r="C20" t="s">
        <v>18</v>
      </c>
      <c r="D20" s="1">
        <v>2020</v>
      </c>
      <c r="E20" t="s">
        <v>19</v>
      </c>
      <c r="F20" s="8">
        <f>G20*H20</f>
        <v>2.318496338904363E-12</v>
      </c>
      <c r="G20" s="85">
        <v>1.0613713076173102E-15</v>
      </c>
      <c r="H20" s="8">
        <v>2184.43472351744</v>
      </c>
      <c r="I20" s="83">
        <v>0.23099999999999998</v>
      </c>
      <c r="J20" s="8">
        <f>I20*G20</f>
        <v>2.4517677205959864E-16</v>
      </c>
      <c r="K20" s="8">
        <f>I20*G20</f>
        <v>2.4517677205959864E-16</v>
      </c>
      <c r="L20" s="8"/>
      <c r="M20" s="8"/>
      <c r="N20" s="8">
        <v>330.52250880000003</v>
      </c>
      <c r="O20" s="8">
        <f>N20*G20</f>
        <v>3.5080710736200993E-13</v>
      </c>
      <c r="P20" s="8">
        <f>N20*G20</f>
        <v>3.5080710736200993E-13</v>
      </c>
      <c r="Q20" s="8"/>
      <c r="R20" s="84"/>
      <c r="S20" s="8"/>
      <c r="T20" s="8"/>
    </row>
    <row r="21" spans="2:27" x14ac:dyDescent="0.35">
      <c r="B21" s="82" t="s">
        <v>20</v>
      </c>
      <c r="C21" t="s">
        <v>21</v>
      </c>
      <c r="D21" s="1">
        <v>2020</v>
      </c>
      <c r="E21" t="s">
        <v>22</v>
      </c>
      <c r="F21" s="8">
        <f t="shared" ref="F21:F71" si="4">G21*H21</f>
        <v>-2.6066805031434935E-11</v>
      </c>
      <c r="G21" s="85">
        <v>-6.3354591166041321E-15</v>
      </c>
      <c r="H21" s="8">
        <v>4114.4303122592</v>
      </c>
      <c r="I21" s="83">
        <v>0.36549999999999999</v>
      </c>
      <c r="J21" s="8">
        <f t="shared" ref="J21:J32" si="5">I21*G21</f>
        <v>-2.3156103071188103E-15</v>
      </c>
      <c r="K21" s="8">
        <f t="shared" ref="K21:K45" si="6">I21*G21</f>
        <v>-2.3156103071188103E-15</v>
      </c>
      <c r="L21" s="8">
        <f>I21*G21</f>
        <v>-2.3156103071188103E-15</v>
      </c>
      <c r="M21" s="8">
        <f>I21*G21</f>
        <v>-2.3156103071188103E-15</v>
      </c>
      <c r="N21" s="8">
        <v>402.68658988799996</v>
      </c>
      <c r="O21" s="8">
        <f t="shared" ref="O21:O24" si="7">N21*G21</f>
        <v>-2.5512044270401586E-12</v>
      </c>
      <c r="P21" s="8">
        <f>N21*G21</f>
        <v>-2.5512044270401586E-12</v>
      </c>
      <c r="Q21" s="8">
        <f>N21*G21</f>
        <v>-2.5512044270401586E-12</v>
      </c>
      <c r="R21" s="84">
        <f>N21*G21</f>
        <v>-2.5512044270401586E-12</v>
      </c>
      <c r="S21" s="9"/>
      <c r="T21" s="9" t="s">
        <v>55</v>
      </c>
      <c r="U21" s="10" t="s">
        <v>2</v>
      </c>
      <c r="V21" s="6"/>
      <c r="W21" s="7">
        <v>2018</v>
      </c>
      <c r="X21" s="7">
        <v>2020</v>
      </c>
      <c r="Y21" s="7">
        <v>2030</v>
      </c>
      <c r="Z21" s="7">
        <v>2040</v>
      </c>
      <c r="AA21" s="7">
        <v>2050</v>
      </c>
    </row>
    <row r="22" spans="2:27" x14ac:dyDescent="0.35">
      <c r="B22" s="82" t="s">
        <v>23</v>
      </c>
      <c r="C22" t="s">
        <v>24</v>
      </c>
      <c r="D22" s="1">
        <v>2020</v>
      </c>
      <c r="E22" t="s">
        <v>25</v>
      </c>
      <c r="F22" s="8">
        <f t="shared" si="4"/>
        <v>354861.09105682385</v>
      </c>
      <c r="G22" s="85">
        <v>182.02022066195156</v>
      </c>
      <c r="H22" s="8">
        <v>1949.5696124655999</v>
      </c>
      <c r="I22" s="83">
        <v>0.29749999999999999</v>
      </c>
      <c r="J22" s="8">
        <f t="shared" si="5"/>
        <v>54.151015646930588</v>
      </c>
      <c r="K22" s="8">
        <f t="shared" si="6"/>
        <v>54.151015646930588</v>
      </c>
      <c r="L22" s="8"/>
      <c r="M22" s="8"/>
      <c r="N22" s="8">
        <v>312.16014719999998</v>
      </c>
      <c r="O22" s="8">
        <f t="shared" si="7"/>
        <v>56819.458875211276</v>
      </c>
      <c r="P22" s="8">
        <f t="shared" ref="P22" si="8">N22*G22</f>
        <v>56819.458875211276</v>
      </c>
      <c r="Q22" s="8"/>
      <c r="R22" s="84"/>
      <c r="S22" s="67">
        <f>Scenario_Control!F5</f>
        <v>0.32</v>
      </c>
      <c r="T22" t="s">
        <v>17</v>
      </c>
      <c r="U22" t="s">
        <v>18</v>
      </c>
      <c r="V22" s="5" t="s">
        <v>19</v>
      </c>
      <c r="W22" s="5">
        <v>12271.47</v>
      </c>
      <c r="X22" s="5">
        <f>W22*(1+$S$22)</f>
        <v>16198.340399999999</v>
      </c>
      <c r="Y22" s="5">
        <f t="shared" ref="Y22:AA22" si="9">X22*(1+$S$22)</f>
        <v>21381.809327999999</v>
      </c>
      <c r="Z22" s="5">
        <f t="shared" si="9"/>
        <v>28223.988312960002</v>
      </c>
      <c r="AA22" s="5">
        <f t="shared" si="9"/>
        <v>37255.664573107206</v>
      </c>
    </row>
    <row r="23" spans="2:27" x14ac:dyDescent="0.35">
      <c r="B23" s="82" t="s">
        <v>26</v>
      </c>
      <c r="C23" t="s">
        <v>27</v>
      </c>
      <c r="D23" s="1">
        <v>2020</v>
      </c>
      <c r="E23" t="s">
        <v>28</v>
      </c>
      <c r="F23" s="8">
        <f t="shared" si="4"/>
        <v>0</v>
      </c>
      <c r="G23" s="85">
        <v>0</v>
      </c>
      <c r="H23" s="8">
        <v>1878.8785943568</v>
      </c>
      <c r="I23" s="83">
        <v>0.48449999999999993</v>
      </c>
      <c r="J23" s="8">
        <f t="shared" si="5"/>
        <v>0</v>
      </c>
      <c r="K23" s="8">
        <f t="shared" si="6"/>
        <v>0</v>
      </c>
      <c r="L23" s="8">
        <f>I23*G23</f>
        <v>0</v>
      </c>
      <c r="M23" s="8"/>
      <c r="N23" s="8">
        <v>238.802512608</v>
      </c>
      <c r="O23" s="8">
        <f t="shared" si="7"/>
        <v>0</v>
      </c>
      <c r="P23" s="8">
        <f>N23*G23</f>
        <v>0</v>
      </c>
      <c r="Q23" s="8">
        <f>N23*G23</f>
        <v>0</v>
      </c>
      <c r="R23" s="84"/>
      <c r="S23" s="8"/>
      <c r="T23" t="s">
        <v>20</v>
      </c>
      <c r="U23" t="s">
        <v>21</v>
      </c>
      <c r="V23" s="5" t="s">
        <v>22</v>
      </c>
      <c r="W23" s="5">
        <v>4145.5</v>
      </c>
      <c r="X23" s="5">
        <f t="shared" ref="X23:AA26" si="10">W23*(1+$S$22)</f>
        <v>5472.06</v>
      </c>
      <c r="Y23" s="5">
        <f t="shared" si="10"/>
        <v>7223.119200000001</v>
      </c>
      <c r="Z23" s="5">
        <f t="shared" si="10"/>
        <v>9534.5173440000017</v>
      </c>
      <c r="AA23" s="5">
        <f t="shared" si="10"/>
        <v>12585.562894080003</v>
      </c>
    </row>
    <row r="24" spans="2:27" x14ac:dyDescent="0.35">
      <c r="B24" s="82" t="s">
        <v>29</v>
      </c>
      <c r="C24" t="s">
        <v>24</v>
      </c>
      <c r="D24" s="1">
        <v>2020</v>
      </c>
      <c r="E24" t="s">
        <v>30</v>
      </c>
      <c r="F24" s="8">
        <f t="shared" si="4"/>
        <v>0</v>
      </c>
      <c r="G24" s="85">
        <v>0</v>
      </c>
      <c r="H24" s="8">
        <v>901.87859435680002</v>
      </c>
      <c r="I24" s="83">
        <v>0.32300000000000001</v>
      </c>
      <c r="J24" s="8">
        <f t="shared" si="5"/>
        <v>0</v>
      </c>
      <c r="K24" s="8">
        <f t="shared" si="6"/>
        <v>0</v>
      </c>
      <c r="L24" s="8">
        <f t="shared" ref="L24:L28" si="11">I24*G24</f>
        <v>0</v>
      </c>
      <c r="M24" s="8"/>
      <c r="N24" s="8">
        <v>238.802512608</v>
      </c>
      <c r="O24" s="8">
        <f t="shared" si="7"/>
        <v>0</v>
      </c>
      <c r="P24" s="8">
        <f>N24*G24</f>
        <v>0</v>
      </c>
      <c r="Q24" s="8">
        <f>N24*G24</f>
        <v>0</v>
      </c>
      <c r="R24" s="84"/>
      <c r="S24" s="8"/>
      <c r="T24" t="s">
        <v>23</v>
      </c>
      <c r="U24" t="s">
        <v>24</v>
      </c>
      <c r="V24" s="5" t="s">
        <v>25</v>
      </c>
      <c r="W24" s="5">
        <v>13403.16</v>
      </c>
      <c r="X24" s="5">
        <f t="shared" si="10"/>
        <v>17692.171200000001</v>
      </c>
      <c r="Y24" s="5">
        <f t="shared" si="10"/>
        <v>23353.665984000003</v>
      </c>
      <c r="Z24" s="5">
        <f t="shared" si="10"/>
        <v>30826.839098880006</v>
      </c>
      <c r="AA24" s="5">
        <f t="shared" si="10"/>
        <v>40691.427610521612</v>
      </c>
    </row>
    <row r="25" spans="2:27" x14ac:dyDescent="0.35">
      <c r="B25" s="82" t="s">
        <v>31</v>
      </c>
      <c r="C25" t="s">
        <v>32</v>
      </c>
      <c r="D25" s="1">
        <v>2020</v>
      </c>
      <c r="E25" t="s">
        <v>33</v>
      </c>
      <c r="F25" s="8">
        <f t="shared" si="4"/>
        <v>6.899276248873087E-9</v>
      </c>
      <c r="G25" s="85">
        <v>1.0670413945487158E-12</v>
      </c>
      <c r="H25" s="8">
        <v>6465.8</v>
      </c>
      <c r="I25" s="83">
        <v>0.62</v>
      </c>
      <c r="J25" s="8">
        <f t="shared" si="5"/>
        <v>6.6156566462020386E-13</v>
      </c>
      <c r="K25" s="8">
        <f t="shared" si="6"/>
        <v>6.6156566462020386E-13</v>
      </c>
      <c r="L25" s="8">
        <f t="shared" si="11"/>
        <v>6.6156566462020386E-13</v>
      </c>
      <c r="M25" s="8">
        <f>I25*G25</f>
        <v>6.6156566462020386E-13</v>
      </c>
      <c r="N25" s="8"/>
      <c r="O25" s="8"/>
      <c r="P25" s="8"/>
      <c r="Q25" s="8"/>
      <c r="R25" s="84"/>
      <c r="S25" s="8"/>
      <c r="T25" t="s">
        <v>26</v>
      </c>
      <c r="U25" t="s">
        <v>27</v>
      </c>
      <c r="V25" s="5" t="s">
        <v>28</v>
      </c>
      <c r="W25" s="5">
        <v>19287.36</v>
      </c>
      <c r="X25" s="5">
        <f t="shared" si="10"/>
        <v>25459.315200000001</v>
      </c>
      <c r="Y25" s="5">
        <f t="shared" si="10"/>
        <v>33606.296064000002</v>
      </c>
      <c r="Z25" s="5">
        <f t="shared" si="10"/>
        <v>44360.310804480003</v>
      </c>
      <c r="AA25" s="5">
        <f t="shared" si="10"/>
        <v>58555.610261913607</v>
      </c>
    </row>
    <row r="26" spans="2:27" x14ac:dyDescent="0.35">
      <c r="B26" s="82" t="s">
        <v>34</v>
      </c>
      <c r="C26" t="s">
        <v>35</v>
      </c>
      <c r="D26" s="1">
        <v>2020</v>
      </c>
      <c r="E26" t="s">
        <v>36</v>
      </c>
      <c r="F26" s="8">
        <f t="shared" si="4"/>
        <v>0</v>
      </c>
      <c r="G26" s="85">
        <v>0</v>
      </c>
      <c r="H26" s="8">
        <v>6026.8</v>
      </c>
      <c r="I26" s="83">
        <v>0.62</v>
      </c>
      <c r="J26" s="8">
        <f t="shared" si="5"/>
        <v>0</v>
      </c>
      <c r="K26" s="8">
        <f t="shared" si="6"/>
        <v>0</v>
      </c>
      <c r="L26" s="8">
        <f t="shared" si="11"/>
        <v>0</v>
      </c>
      <c r="M26" s="8">
        <f t="shared" ref="M26:M27" si="12">I26*G26</f>
        <v>0</v>
      </c>
      <c r="N26" s="8"/>
      <c r="O26" s="8"/>
      <c r="P26" s="8"/>
      <c r="Q26" s="8"/>
      <c r="R26" s="84"/>
      <c r="S26" s="8"/>
      <c r="T26" t="s">
        <v>29</v>
      </c>
      <c r="U26" t="s">
        <v>24</v>
      </c>
      <c r="V26" s="5" t="s">
        <v>30</v>
      </c>
      <c r="W26" s="5">
        <v>718.16</v>
      </c>
      <c r="X26" s="5">
        <f t="shared" si="10"/>
        <v>947.97119999999995</v>
      </c>
      <c r="Y26" s="5">
        <f t="shared" si="10"/>
        <v>1251.3219839999999</v>
      </c>
      <c r="Z26" s="5">
        <f t="shared" si="10"/>
        <v>1651.7450188800001</v>
      </c>
      <c r="AA26" s="5">
        <f t="shared" si="10"/>
        <v>2180.3034249216003</v>
      </c>
    </row>
    <row r="27" spans="2:27" x14ac:dyDescent="0.35">
      <c r="B27" s="82" t="s">
        <v>37</v>
      </c>
      <c r="C27" t="s">
        <v>38</v>
      </c>
      <c r="D27" s="1">
        <v>2020</v>
      </c>
      <c r="E27" t="s">
        <v>39</v>
      </c>
      <c r="F27" s="8">
        <f t="shared" si="4"/>
        <v>0</v>
      </c>
      <c r="G27" s="85">
        <v>0</v>
      </c>
      <c r="H27" s="8">
        <v>7025.8</v>
      </c>
      <c r="I27" s="83">
        <v>0.62</v>
      </c>
      <c r="J27" s="8">
        <f t="shared" si="5"/>
        <v>0</v>
      </c>
      <c r="K27" s="8">
        <f t="shared" si="6"/>
        <v>0</v>
      </c>
      <c r="L27" s="8">
        <f t="shared" si="11"/>
        <v>0</v>
      </c>
      <c r="M27" s="8">
        <f t="shared" si="12"/>
        <v>0</v>
      </c>
      <c r="N27" s="8"/>
      <c r="O27" s="8"/>
      <c r="P27" s="8"/>
      <c r="Q27" s="8"/>
      <c r="R27" s="84"/>
      <c r="S27" s="67">
        <f>Scenario_Control!G5</f>
        <v>0</v>
      </c>
      <c r="T27" s="108" t="s">
        <v>31</v>
      </c>
      <c r="U27" s="108" t="s">
        <v>32</v>
      </c>
      <c r="V27" s="109" t="s">
        <v>33</v>
      </c>
      <c r="W27" s="109">
        <v>88787</v>
      </c>
      <c r="X27" s="109">
        <f>W27*(1+$S$27)</f>
        <v>88787</v>
      </c>
      <c r="Y27" s="109">
        <f>X27*(1+$S$27)</f>
        <v>88787</v>
      </c>
      <c r="Z27" s="109">
        <f t="shared" ref="Z27:AA27" si="13">Y27*(1+$S$27)</f>
        <v>88787</v>
      </c>
      <c r="AA27" s="109">
        <f t="shared" si="13"/>
        <v>88787</v>
      </c>
    </row>
    <row r="28" spans="2:27" x14ac:dyDescent="0.35">
      <c r="B28" s="82" t="s">
        <v>40</v>
      </c>
      <c r="C28" t="s">
        <v>41</v>
      </c>
      <c r="D28" s="1">
        <v>2020</v>
      </c>
      <c r="E28" t="s">
        <v>42</v>
      </c>
      <c r="F28" s="8">
        <f t="shared" si="4"/>
        <v>0</v>
      </c>
      <c r="G28" s="85">
        <v>0</v>
      </c>
      <c r="H28" s="8">
        <v>5109.13</v>
      </c>
      <c r="I28" s="83">
        <v>0.33</v>
      </c>
      <c r="J28" s="8">
        <f t="shared" si="5"/>
        <v>0</v>
      </c>
      <c r="K28" s="8">
        <f t="shared" si="6"/>
        <v>0</v>
      </c>
      <c r="L28" s="8">
        <f t="shared" si="11"/>
        <v>0</v>
      </c>
      <c r="M28" s="8"/>
      <c r="N28" s="8"/>
      <c r="O28" s="8"/>
      <c r="P28" s="8"/>
      <c r="Q28" s="8"/>
      <c r="R28" s="84"/>
      <c r="S28" s="8"/>
      <c r="T28" s="108" t="s">
        <v>34</v>
      </c>
      <c r="U28" s="108" t="s">
        <v>35</v>
      </c>
      <c r="V28" s="109" t="s">
        <v>36</v>
      </c>
      <c r="W28" s="109">
        <v>6917</v>
      </c>
      <c r="X28" s="109">
        <f>W28*(1+$S$27)</f>
        <v>6917</v>
      </c>
      <c r="Y28" s="109">
        <f t="shared" ref="X28:AA29" si="14">X28*(1+$S$27)</f>
        <v>6917</v>
      </c>
      <c r="Z28" s="109">
        <f t="shared" si="14"/>
        <v>6917</v>
      </c>
      <c r="AA28" s="109">
        <f t="shared" si="14"/>
        <v>6917</v>
      </c>
    </row>
    <row r="29" spans="2:27" x14ac:dyDescent="0.35">
      <c r="B29" s="82" t="s">
        <v>43</v>
      </c>
      <c r="C29" t="s">
        <v>44</v>
      </c>
      <c r="D29" s="1">
        <v>2020</v>
      </c>
      <c r="E29" t="s">
        <v>45</v>
      </c>
      <c r="F29" s="8">
        <f t="shared" si="4"/>
        <v>-4.2550087921013399E-11</v>
      </c>
      <c r="G29" s="85">
        <v>-5.7075982558009331E-15</v>
      </c>
      <c r="H29" s="8">
        <v>7454.99</v>
      </c>
      <c r="I29" s="83">
        <v>0.24</v>
      </c>
      <c r="J29" s="8">
        <f t="shared" si="5"/>
        <v>-1.3698235813922239E-15</v>
      </c>
      <c r="K29" s="8">
        <f t="shared" si="6"/>
        <v>-1.3698235813922239E-15</v>
      </c>
      <c r="L29" s="8"/>
      <c r="M29" s="8"/>
      <c r="N29" s="8"/>
      <c r="O29" s="8"/>
      <c r="P29" s="8"/>
      <c r="Q29" s="8"/>
      <c r="R29" s="84"/>
      <c r="S29" s="8"/>
      <c r="T29" s="108" t="s">
        <v>37</v>
      </c>
      <c r="U29" s="108" t="s">
        <v>38</v>
      </c>
      <c r="V29" s="109" t="s">
        <v>39</v>
      </c>
      <c r="W29" s="109">
        <v>1062</v>
      </c>
      <c r="X29" s="109">
        <f t="shared" si="14"/>
        <v>1062</v>
      </c>
      <c r="Y29" s="109">
        <f t="shared" si="14"/>
        <v>1062</v>
      </c>
      <c r="Z29" s="109">
        <f t="shared" si="14"/>
        <v>1062</v>
      </c>
      <c r="AA29" s="109">
        <f t="shared" si="14"/>
        <v>1062</v>
      </c>
    </row>
    <row r="30" spans="2:27" x14ac:dyDescent="0.35">
      <c r="B30" s="82" t="s">
        <v>46</v>
      </c>
      <c r="C30" t="s">
        <v>47</v>
      </c>
      <c r="D30" s="1">
        <v>2020</v>
      </c>
      <c r="E30" t="s">
        <v>48</v>
      </c>
      <c r="F30" s="8">
        <f t="shared" si="4"/>
        <v>1.0583063620342831E-10</v>
      </c>
      <c r="G30" s="85">
        <v>7.6139339407917011E-15</v>
      </c>
      <c r="H30" s="8">
        <v>13899.599999999999</v>
      </c>
      <c r="I30" s="83">
        <v>0.29749999999999999</v>
      </c>
      <c r="J30" s="8">
        <f t="shared" si="5"/>
        <v>2.2651453473855309E-15</v>
      </c>
      <c r="K30" s="8">
        <f t="shared" si="6"/>
        <v>2.2651453473855309E-15</v>
      </c>
      <c r="L30" s="8">
        <f>I30*G30</f>
        <v>2.2651453473855309E-15</v>
      </c>
      <c r="M30" s="8">
        <f>I30*G30</f>
        <v>2.2651453473855309E-15</v>
      </c>
      <c r="N30" s="8"/>
      <c r="O30" s="8"/>
      <c r="P30" s="8"/>
      <c r="Q30" s="8"/>
      <c r="R30" s="84"/>
      <c r="S30" s="67">
        <f>Scenario_Control!H5</f>
        <v>0.4</v>
      </c>
      <c r="T30" t="s">
        <v>40</v>
      </c>
      <c r="U30" t="s">
        <v>41</v>
      </c>
      <c r="V30" s="5" t="s">
        <v>42</v>
      </c>
      <c r="W30" s="5">
        <v>11378.17</v>
      </c>
      <c r="X30" s="5">
        <f>W30*(1+$S$30)</f>
        <v>15929.437999999998</v>
      </c>
      <c r="Y30" s="5">
        <f t="shared" ref="Y30:AA30" si="15">X30*(1+$S$30)</f>
        <v>22301.213199999995</v>
      </c>
      <c r="Z30" s="5">
        <f t="shared" si="15"/>
        <v>31221.698479999992</v>
      </c>
      <c r="AA30" s="5">
        <f t="shared" si="15"/>
        <v>43710.377871999983</v>
      </c>
    </row>
    <row r="31" spans="2:27" x14ac:dyDescent="0.35">
      <c r="B31" s="82" t="s">
        <v>49</v>
      </c>
      <c r="C31" t="s">
        <v>50</v>
      </c>
      <c r="D31" s="1">
        <v>2020</v>
      </c>
      <c r="E31" t="s">
        <v>51</v>
      </c>
      <c r="F31" s="8">
        <f t="shared" si="4"/>
        <v>20902912.819215205</v>
      </c>
      <c r="G31" s="85">
        <v>9262.9298770795285</v>
      </c>
      <c r="H31" s="8">
        <v>2256.62</v>
      </c>
      <c r="I31" s="83">
        <v>0.28999999999999998</v>
      </c>
      <c r="J31" s="8">
        <f t="shared" si="5"/>
        <v>2686.2496643530631</v>
      </c>
      <c r="K31" s="8">
        <f t="shared" si="6"/>
        <v>2686.2496643530631</v>
      </c>
      <c r="L31" s="8"/>
      <c r="M31" s="8"/>
      <c r="R31" s="86"/>
      <c r="S31" s="8"/>
      <c r="T31" t="s">
        <v>43</v>
      </c>
      <c r="U31" t="s">
        <v>44</v>
      </c>
      <c r="V31" s="5" t="s">
        <v>45</v>
      </c>
      <c r="W31" s="5">
        <f>W30/3</f>
        <v>3792.7233333333334</v>
      </c>
      <c r="X31" s="5">
        <f t="shared" ref="X31:AA32" si="16">W31*(1+$S$30)</f>
        <v>5309.8126666666667</v>
      </c>
      <c r="Y31" s="5">
        <f t="shared" si="16"/>
        <v>7433.7377333333325</v>
      </c>
      <c r="Z31" s="5">
        <f t="shared" si="16"/>
        <v>10407.232826666665</v>
      </c>
      <c r="AA31" s="5">
        <f t="shared" si="16"/>
        <v>14570.12595733333</v>
      </c>
    </row>
    <row r="32" spans="2:27" x14ac:dyDescent="0.35">
      <c r="B32" s="82" t="s">
        <v>52</v>
      </c>
      <c r="C32" t="s">
        <v>53</v>
      </c>
      <c r="D32" s="1">
        <v>2020</v>
      </c>
      <c r="E32" t="s">
        <v>54</v>
      </c>
      <c r="F32" s="8">
        <f t="shared" si="4"/>
        <v>1.8966849126736519E-10</v>
      </c>
      <c r="G32" s="85">
        <v>3.1360530963519377E-14</v>
      </c>
      <c r="H32" s="8">
        <v>6048</v>
      </c>
      <c r="I32" s="83">
        <v>0.28999999999999998</v>
      </c>
      <c r="J32" s="8">
        <f t="shared" si="5"/>
        <v>9.094553979420619E-15</v>
      </c>
      <c r="K32" s="8">
        <f t="shared" si="6"/>
        <v>9.094553979420619E-15</v>
      </c>
      <c r="L32" s="8"/>
      <c r="M32" s="8"/>
      <c r="R32" s="86"/>
      <c r="S32" s="8"/>
      <c r="T32" t="s">
        <v>46</v>
      </c>
      <c r="U32" t="s">
        <v>47</v>
      </c>
      <c r="V32" s="5" t="s">
        <v>48</v>
      </c>
      <c r="W32" s="5">
        <v>1990</v>
      </c>
      <c r="X32" s="5">
        <f t="shared" si="16"/>
        <v>2786</v>
      </c>
      <c r="Y32" s="5">
        <f t="shared" si="16"/>
        <v>3900.3999999999996</v>
      </c>
      <c r="Z32" s="5">
        <f t="shared" si="16"/>
        <v>5460.5599999999995</v>
      </c>
      <c r="AA32" s="5">
        <f t="shared" si="16"/>
        <v>7644.7839999999987</v>
      </c>
    </row>
    <row r="33" spans="2:28" x14ac:dyDescent="0.35">
      <c r="B33" s="82" t="s">
        <v>17</v>
      </c>
      <c r="C33" t="s">
        <v>18</v>
      </c>
      <c r="D33" s="1">
        <v>2030</v>
      </c>
      <c r="E33" t="s">
        <v>19</v>
      </c>
      <c r="F33" s="8">
        <f t="shared" si="4"/>
        <v>0</v>
      </c>
      <c r="G33" s="85">
        <v>0</v>
      </c>
      <c r="H33" s="8">
        <v>2184.43472351744</v>
      </c>
      <c r="I33" s="83">
        <v>0.23099999999999998</v>
      </c>
      <c r="J33" s="8"/>
      <c r="K33" s="8">
        <f t="shared" si="6"/>
        <v>0</v>
      </c>
      <c r="L33" s="8">
        <f>I33*G33</f>
        <v>0</v>
      </c>
      <c r="M33" s="8"/>
      <c r="N33" s="8">
        <v>330.52250880000003</v>
      </c>
      <c r="O33" s="8"/>
      <c r="P33" s="8">
        <f>N33*G33</f>
        <v>0</v>
      </c>
      <c r="Q33" s="8">
        <f>N33*G33</f>
        <v>0</v>
      </c>
      <c r="R33" s="84"/>
      <c r="S33" s="67">
        <f>Scenario_Control!I5</f>
        <v>0.4</v>
      </c>
      <c r="T33" t="s">
        <v>49</v>
      </c>
      <c r="U33" t="s">
        <v>50</v>
      </c>
      <c r="V33" s="5" t="s">
        <v>51</v>
      </c>
      <c r="W33" s="5">
        <v>30000</v>
      </c>
      <c r="X33" s="5">
        <f>W33*(1+$S$33)</f>
        <v>42000</v>
      </c>
      <c r="Y33" s="5">
        <f t="shared" ref="Y33:AA33" si="17">X33*(1+$S$33)</f>
        <v>58799.999999999993</v>
      </c>
      <c r="Z33" s="5">
        <f t="shared" si="17"/>
        <v>82319.999999999985</v>
      </c>
      <c r="AA33" s="5">
        <f t="shared" si="17"/>
        <v>115247.99999999997</v>
      </c>
    </row>
    <row r="34" spans="2:28" x14ac:dyDescent="0.35">
      <c r="B34" s="82" t="s">
        <v>20</v>
      </c>
      <c r="C34" t="s">
        <v>21</v>
      </c>
      <c r="D34" s="1">
        <v>2030</v>
      </c>
      <c r="E34" t="s">
        <v>22</v>
      </c>
      <c r="F34" s="8">
        <f t="shared" si="4"/>
        <v>6.9532764973443319E-11</v>
      </c>
      <c r="G34" s="85">
        <v>1.6898244845641709E-14</v>
      </c>
      <c r="H34" s="8">
        <v>4114.7921342480004</v>
      </c>
      <c r="I34" s="83">
        <v>0.36549999999999999</v>
      </c>
      <c r="J34" s="8"/>
      <c r="K34" s="8">
        <f t="shared" si="6"/>
        <v>6.1763084910820449E-15</v>
      </c>
      <c r="L34" s="8">
        <f t="shared" ref="L34:L58" si="18">I34*G34</f>
        <v>6.1763084910820449E-15</v>
      </c>
      <c r="M34" s="8">
        <f>I34*G34</f>
        <v>6.1763084910820449E-15</v>
      </c>
      <c r="N34" s="8">
        <v>402.68658988799996</v>
      </c>
      <c r="O34" s="8"/>
      <c r="P34" s="8">
        <f t="shared" ref="P34:P37" si="19">N34*G34</f>
        <v>6.804696591983932E-12</v>
      </c>
      <c r="Q34" s="8">
        <f>N34*G34</f>
        <v>6.804696591983932E-12</v>
      </c>
      <c r="R34" s="84">
        <f>N34*G34</f>
        <v>6.804696591983932E-12</v>
      </c>
      <c r="S34" s="8"/>
      <c r="T34" t="s">
        <v>52</v>
      </c>
      <c r="U34" t="s">
        <v>53</v>
      </c>
      <c r="V34" s="5" t="s">
        <v>54</v>
      </c>
      <c r="W34" s="5">
        <v>2000</v>
      </c>
      <c r="X34" s="5">
        <f>W34*(1+$S$33)</f>
        <v>2800</v>
      </c>
      <c r="Y34" s="5">
        <f t="shared" ref="Y34:AA34" si="20">X34*(1+$S$33)</f>
        <v>3919.9999999999995</v>
      </c>
      <c r="Z34" s="5">
        <f t="shared" si="20"/>
        <v>5487.9999999999991</v>
      </c>
      <c r="AA34" s="5">
        <f t="shared" si="20"/>
        <v>7683.199999999998</v>
      </c>
    </row>
    <row r="35" spans="2:28" x14ac:dyDescent="0.35">
      <c r="B35" s="82" t="s">
        <v>23</v>
      </c>
      <c r="C35" t="s">
        <v>24</v>
      </c>
      <c r="D35" s="1">
        <v>2030</v>
      </c>
      <c r="E35" t="s">
        <v>25</v>
      </c>
      <c r="F35" s="8">
        <f t="shared" si="4"/>
        <v>2870600.7154639587</v>
      </c>
      <c r="G35" s="85">
        <v>1470.7099329116477</v>
      </c>
      <c r="H35" s="8">
        <v>1951.8469626304</v>
      </c>
      <c r="I35" s="83">
        <v>0.29749999999999999</v>
      </c>
      <c r="J35" s="8"/>
      <c r="K35" s="8">
        <f t="shared" si="6"/>
        <v>437.53620504121517</v>
      </c>
      <c r="L35" s="8">
        <f t="shared" si="18"/>
        <v>437.53620504121517</v>
      </c>
      <c r="M35" s="8"/>
      <c r="N35" s="8">
        <v>312.16014719999998</v>
      </c>
      <c r="O35" s="8"/>
      <c r="P35" s="8">
        <f t="shared" si="19"/>
        <v>459097.02914620203</v>
      </c>
      <c r="Q35" s="8">
        <f t="shared" ref="Q35:Q37" si="21">N35*G35</f>
        <v>459097.02914620203</v>
      </c>
      <c r="R35" s="84"/>
      <c r="S35" s="8"/>
      <c r="T35" s="8"/>
    </row>
    <row r="36" spans="2:28" x14ac:dyDescent="0.35">
      <c r="B36" s="82" t="s">
        <v>26</v>
      </c>
      <c r="C36" t="s">
        <v>27</v>
      </c>
      <c r="D36" s="1">
        <v>2030</v>
      </c>
      <c r="E36" t="s">
        <v>28</v>
      </c>
      <c r="F36" s="8">
        <f t="shared" si="4"/>
        <v>26955656.283026986</v>
      </c>
      <c r="G36" s="85">
        <v>14318.936064000001</v>
      </c>
      <c r="H36" s="8">
        <v>1882.5180978911999</v>
      </c>
      <c r="I36" s="83">
        <v>0.48449999999999993</v>
      </c>
      <c r="J36" s="8"/>
      <c r="K36" s="8">
        <f t="shared" si="6"/>
        <v>6937.524523008</v>
      </c>
      <c r="L36" s="8">
        <f t="shared" si="18"/>
        <v>6937.524523008</v>
      </c>
      <c r="M36" s="8">
        <f>I36*G36</f>
        <v>6937.524523008</v>
      </c>
      <c r="N36" s="8">
        <v>238.802512608</v>
      </c>
      <c r="O36" s="8"/>
      <c r="P36" s="8">
        <f t="shared" si="19"/>
        <v>3419397.9099565065</v>
      </c>
      <c r="Q36" s="8">
        <f t="shared" si="21"/>
        <v>3419397.9099565065</v>
      </c>
      <c r="R36" s="84">
        <f>N34*G34</f>
        <v>6.804696591983932E-12</v>
      </c>
      <c r="S36" s="67">
        <v>0.05</v>
      </c>
      <c r="T36" s="9" t="s">
        <v>56</v>
      </c>
      <c r="U36" s="11" t="s">
        <v>1</v>
      </c>
      <c r="V36" s="6"/>
      <c r="W36" s="7">
        <v>2018</v>
      </c>
      <c r="X36" s="7">
        <v>2020</v>
      </c>
      <c r="Y36" s="7">
        <v>2030</v>
      </c>
      <c r="Z36" s="7">
        <v>2040</v>
      </c>
      <c r="AA36" s="7">
        <v>2050</v>
      </c>
    </row>
    <row r="37" spans="2:28" x14ac:dyDescent="0.35">
      <c r="B37" s="82" t="s">
        <v>29</v>
      </c>
      <c r="C37" t="s">
        <v>24</v>
      </c>
      <c r="D37" s="1">
        <v>2030</v>
      </c>
      <c r="E37" t="s">
        <v>30</v>
      </c>
      <c r="F37" s="8">
        <f t="shared" si="4"/>
        <v>482787.82561957836</v>
      </c>
      <c r="G37" s="85">
        <v>533.16198399999996</v>
      </c>
      <c r="H37" s="8">
        <v>905.5180978912</v>
      </c>
      <c r="I37" s="83">
        <v>0.32300000000000001</v>
      </c>
      <c r="J37" s="8"/>
      <c r="K37" s="8">
        <f t="shared" si="6"/>
        <v>172.21132083199998</v>
      </c>
      <c r="L37" s="8">
        <f t="shared" si="18"/>
        <v>172.21132083199998</v>
      </c>
      <c r="M37" s="8">
        <f t="shared" ref="M37:M43" si="22">I37*G37</f>
        <v>172.21132083199998</v>
      </c>
      <c r="N37" s="8">
        <v>238.802512608</v>
      </c>
      <c r="O37" s="8"/>
      <c r="P37" s="8">
        <f t="shared" si="19"/>
        <v>127320.42140626628</v>
      </c>
      <c r="Q37" s="8">
        <f t="shared" si="21"/>
        <v>127320.42140626628</v>
      </c>
      <c r="R37" s="84">
        <f>N34*G34</f>
        <v>6.804696591983932E-12</v>
      </c>
      <c r="S37" s="8"/>
      <c r="T37" t="s">
        <v>17</v>
      </c>
      <c r="U37" t="s">
        <v>18</v>
      </c>
      <c r="V37" s="5" t="s">
        <v>19</v>
      </c>
      <c r="W37" s="5"/>
      <c r="X37" s="5"/>
      <c r="Y37" s="5"/>
      <c r="Z37" s="5"/>
      <c r="AA37" s="5"/>
    </row>
    <row r="38" spans="2:28" x14ac:dyDescent="0.35">
      <c r="B38" s="82" t="s">
        <v>31</v>
      </c>
      <c r="C38" t="s">
        <v>32</v>
      </c>
      <c r="D38" s="1">
        <v>2030</v>
      </c>
      <c r="E38" t="s">
        <v>33</v>
      </c>
      <c r="F38" s="8">
        <f t="shared" si="4"/>
        <v>0</v>
      </c>
      <c r="G38" s="85">
        <v>0</v>
      </c>
      <c r="H38" s="8">
        <v>6465.8</v>
      </c>
      <c r="I38" s="83">
        <v>0.62</v>
      </c>
      <c r="J38" s="8"/>
      <c r="K38" s="8">
        <f t="shared" si="6"/>
        <v>0</v>
      </c>
      <c r="L38" s="8">
        <f t="shared" si="18"/>
        <v>0</v>
      </c>
      <c r="M38" s="8">
        <f t="shared" si="22"/>
        <v>0</v>
      </c>
      <c r="N38" s="8"/>
      <c r="O38" s="8"/>
      <c r="P38" s="8"/>
      <c r="Q38" s="8"/>
      <c r="R38" s="84"/>
      <c r="S38" s="8"/>
      <c r="T38" t="s">
        <v>20</v>
      </c>
      <c r="U38" t="s">
        <v>21</v>
      </c>
      <c r="V38" s="5" t="s">
        <v>22</v>
      </c>
      <c r="W38" s="5"/>
      <c r="X38" s="5"/>
      <c r="Y38" s="5"/>
      <c r="Z38" s="5"/>
      <c r="AA38" s="5"/>
    </row>
    <row r="39" spans="2:28" x14ac:dyDescent="0.35">
      <c r="B39" s="82" t="s">
        <v>34</v>
      </c>
      <c r="C39" t="s">
        <v>35</v>
      </c>
      <c r="D39" s="1">
        <v>2030</v>
      </c>
      <c r="E39" t="s">
        <v>36</v>
      </c>
      <c r="F39" s="8">
        <f t="shared" si="4"/>
        <v>0</v>
      </c>
      <c r="G39" s="85">
        <v>0</v>
      </c>
      <c r="H39" s="8">
        <v>6026.8</v>
      </c>
      <c r="I39" s="83">
        <v>0.62</v>
      </c>
      <c r="J39" s="8"/>
      <c r="K39" s="8">
        <f t="shared" si="6"/>
        <v>0</v>
      </c>
      <c r="L39" s="8">
        <f t="shared" si="18"/>
        <v>0</v>
      </c>
      <c r="M39" s="8">
        <f t="shared" si="22"/>
        <v>0</v>
      </c>
      <c r="N39" s="8"/>
      <c r="O39" s="8"/>
      <c r="P39" s="8"/>
      <c r="Q39" s="8"/>
      <c r="R39" s="84"/>
      <c r="S39" s="8"/>
      <c r="T39" t="s">
        <v>23</v>
      </c>
      <c r="U39" t="s">
        <v>24</v>
      </c>
      <c r="V39" s="5" t="s">
        <v>25</v>
      </c>
      <c r="W39" s="5"/>
      <c r="X39" s="5"/>
      <c r="Y39" s="5"/>
      <c r="Z39" s="5"/>
      <c r="AA39" s="5"/>
    </row>
    <row r="40" spans="2:28" x14ac:dyDescent="0.35">
      <c r="B40" s="82" t="s">
        <v>37</v>
      </c>
      <c r="C40" t="s">
        <v>38</v>
      </c>
      <c r="D40" s="1">
        <v>2030</v>
      </c>
      <c r="E40" t="s">
        <v>39</v>
      </c>
      <c r="F40" s="8">
        <f t="shared" si="4"/>
        <v>0</v>
      </c>
      <c r="G40" s="85">
        <v>0</v>
      </c>
      <c r="H40" s="8">
        <v>7025.8</v>
      </c>
      <c r="I40" s="83">
        <v>0.62</v>
      </c>
      <c r="J40" s="8"/>
      <c r="K40" s="8">
        <f t="shared" si="6"/>
        <v>0</v>
      </c>
      <c r="L40" s="8">
        <f t="shared" si="18"/>
        <v>0</v>
      </c>
      <c r="M40" s="8">
        <f t="shared" si="22"/>
        <v>0</v>
      </c>
      <c r="N40" s="8"/>
      <c r="O40" s="8"/>
      <c r="P40" s="8"/>
      <c r="Q40" s="8"/>
      <c r="R40" s="84"/>
      <c r="S40" s="8"/>
      <c r="T40" t="s">
        <v>26</v>
      </c>
      <c r="U40" t="s">
        <v>27</v>
      </c>
      <c r="V40" s="5" t="s">
        <v>28</v>
      </c>
      <c r="W40" s="5"/>
      <c r="X40" s="5"/>
      <c r="Y40" s="5"/>
      <c r="Z40" s="5"/>
      <c r="AA40" s="5"/>
    </row>
    <row r="41" spans="2:28" x14ac:dyDescent="0.35">
      <c r="B41" s="82" t="s">
        <v>40</v>
      </c>
      <c r="C41" t="s">
        <v>41</v>
      </c>
      <c r="D41" s="1">
        <v>2030</v>
      </c>
      <c r="E41" t="s">
        <v>42</v>
      </c>
      <c r="F41" s="8">
        <f t="shared" si="4"/>
        <v>55395667.436639979</v>
      </c>
      <c r="G41" s="85">
        <v>10923.043199999995</v>
      </c>
      <c r="H41" s="8">
        <v>5071.4500000000007</v>
      </c>
      <c r="I41" s="83">
        <v>0.33</v>
      </c>
      <c r="J41" s="8"/>
      <c r="K41" s="8">
        <f t="shared" si="6"/>
        <v>3604.6042559999983</v>
      </c>
      <c r="L41" s="8">
        <f t="shared" si="18"/>
        <v>3604.6042559999983</v>
      </c>
      <c r="M41" s="8">
        <f t="shared" si="22"/>
        <v>3604.6042559999983</v>
      </c>
      <c r="N41" s="8"/>
      <c r="O41" s="8"/>
      <c r="P41" s="8"/>
      <c r="Q41" s="8"/>
      <c r="R41" s="84"/>
      <c r="S41" s="8"/>
      <c r="T41" t="s">
        <v>29</v>
      </c>
      <c r="U41" t="s">
        <v>24</v>
      </c>
      <c r="V41" s="5" t="s">
        <v>30</v>
      </c>
      <c r="W41" s="5"/>
      <c r="X41" s="5"/>
      <c r="Y41" s="5"/>
      <c r="Z41" s="5"/>
      <c r="AA41" s="5"/>
    </row>
    <row r="42" spans="2:28" x14ac:dyDescent="0.35">
      <c r="B42" s="82" t="s">
        <v>43</v>
      </c>
      <c r="C42" t="s">
        <v>44</v>
      </c>
      <c r="D42" s="1">
        <v>2030</v>
      </c>
      <c r="E42" t="s">
        <v>45</v>
      </c>
      <c r="F42" s="8">
        <f t="shared" si="4"/>
        <v>1.8257414526017731E-10</v>
      </c>
      <c r="G42" s="85">
        <v>2.5081725699520316E-14</v>
      </c>
      <c r="H42" s="8">
        <v>7279.17</v>
      </c>
      <c r="I42" s="83">
        <v>0.24</v>
      </c>
      <c r="J42" s="8"/>
      <c r="K42" s="8">
        <f t="shared" si="6"/>
        <v>6.0196141678848754E-15</v>
      </c>
      <c r="L42" s="8">
        <f t="shared" si="18"/>
        <v>6.0196141678848754E-15</v>
      </c>
      <c r="M42" s="8"/>
      <c r="N42" s="8"/>
      <c r="O42" s="8"/>
      <c r="P42" s="8"/>
      <c r="Q42" s="8"/>
      <c r="R42" s="84"/>
      <c r="S42" s="8"/>
      <c r="T42" t="s">
        <v>31</v>
      </c>
      <c r="U42" t="s">
        <v>32</v>
      </c>
      <c r="V42" s="5" t="s">
        <v>33</v>
      </c>
      <c r="W42" s="5"/>
      <c r="X42" s="5"/>
      <c r="Y42" s="5"/>
      <c r="Z42" s="5"/>
      <c r="AA42" s="5"/>
    </row>
    <row r="43" spans="2:28" x14ac:dyDescent="0.35">
      <c r="B43" s="82" t="s">
        <v>46</v>
      </c>
      <c r="C43" t="s">
        <v>47</v>
      </c>
      <c r="D43" s="1">
        <v>2030</v>
      </c>
      <c r="E43" t="s">
        <v>48</v>
      </c>
      <c r="F43" s="8">
        <f t="shared" si="4"/>
        <v>3.6435213641861531E-10</v>
      </c>
      <c r="G43" s="85">
        <v>2.6213138249921964E-14</v>
      </c>
      <c r="H43" s="8">
        <v>13899.599999999999</v>
      </c>
      <c r="I43" s="83">
        <v>0.29749999999999999</v>
      </c>
      <c r="J43" s="8"/>
      <c r="K43" s="8">
        <f t="shared" si="6"/>
        <v>7.7984086293517834E-15</v>
      </c>
      <c r="L43" s="8">
        <f t="shared" si="18"/>
        <v>7.7984086293517834E-15</v>
      </c>
      <c r="M43" s="8">
        <f t="shared" si="22"/>
        <v>7.7984086293517834E-15</v>
      </c>
      <c r="N43" s="8"/>
      <c r="O43" s="8"/>
      <c r="P43" s="8"/>
      <c r="Q43" s="8"/>
      <c r="R43" s="84"/>
      <c r="S43" s="8"/>
      <c r="T43" t="s">
        <v>34</v>
      </c>
      <c r="U43" t="s">
        <v>35</v>
      </c>
      <c r="V43" s="5" t="s">
        <v>36</v>
      </c>
      <c r="W43" s="5"/>
      <c r="X43" s="5"/>
      <c r="Y43" s="5"/>
      <c r="Z43" s="5"/>
      <c r="AA43" s="5"/>
      <c r="AB43" s="5"/>
    </row>
    <row r="44" spans="2:28" x14ac:dyDescent="0.35">
      <c r="B44" s="82" t="s">
        <v>49</v>
      </c>
      <c r="C44" t="s">
        <v>50</v>
      </c>
      <c r="D44" s="1">
        <v>2030</v>
      </c>
      <c r="E44" t="s">
        <v>51</v>
      </c>
      <c r="F44" s="8">
        <f t="shared" si="4"/>
        <v>101097371.91719174</v>
      </c>
      <c r="G44" s="85">
        <v>49531.070122920464</v>
      </c>
      <c r="H44" s="8">
        <v>2041.0900000000001</v>
      </c>
      <c r="I44" s="83">
        <v>0.28999999999999998</v>
      </c>
      <c r="J44" s="8"/>
      <c r="K44" s="8">
        <f t="shared" si="6"/>
        <v>14364.010335646934</v>
      </c>
      <c r="L44" s="8">
        <f t="shared" si="18"/>
        <v>14364.010335646934</v>
      </c>
      <c r="M44" s="8"/>
      <c r="R44" s="86"/>
      <c r="S44" s="8"/>
      <c r="T44" t="s">
        <v>37</v>
      </c>
      <c r="U44" t="s">
        <v>38</v>
      </c>
      <c r="V44" s="5" t="s">
        <v>39</v>
      </c>
      <c r="W44" s="5"/>
      <c r="X44" s="5"/>
      <c r="Y44" s="5"/>
      <c r="Z44" s="5"/>
      <c r="AA44" s="5"/>
      <c r="AB44" s="5"/>
    </row>
    <row r="45" spans="2:28" x14ac:dyDescent="0.35">
      <c r="B45" s="82" t="s">
        <v>52</v>
      </c>
      <c r="C45" t="s">
        <v>53</v>
      </c>
      <c r="D45" s="1">
        <v>2030</v>
      </c>
      <c r="E45" t="s">
        <v>54</v>
      </c>
      <c r="F45" s="8">
        <f t="shared" si="4"/>
        <v>2959911.4391288664</v>
      </c>
      <c r="G45" s="85">
        <v>668.45335120344771</v>
      </c>
      <c r="H45" s="8">
        <v>4428</v>
      </c>
      <c r="I45" s="83">
        <v>0.28999999999999998</v>
      </c>
      <c r="J45" s="8"/>
      <c r="K45" s="8">
        <f t="shared" si="6"/>
        <v>193.85147184899984</v>
      </c>
      <c r="L45" s="8">
        <f t="shared" si="18"/>
        <v>193.85147184899984</v>
      </c>
      <c r="M45" s="8"/>
      <c r="R45" s="86"/>
      <c r="S45" s="8"/>
      <c r="T45" t="s">
        <v>40</v>
      </c>
      <c r="U45" t="s">
        <v>41</v>
      </c>
      <c r="V45" s="5" t="s">
        <v>42</v>
      </c>
      <c r="W45" s="5"/>
      <c r="X45" s="5"/>
      <c r="Y45" s="5"/>
      <c r="Z45" s="5"/>
      <c r="AA45" s="5"/>
      <c r="AB45" s="5"/>
    </row>
    <row r="46" spans="2:28" x14ac:dyDescent="0.35">
      <c r="B46" s="82" t="s">
        <v>17</v>
      </c>
      <c r="C46" t="s">
        <v>18</v>
      </c>
      <c r="D46" s="1">
        <v>2040</v>
      </c>
      <c r="E46" t="s">
        <v>19</v>
      </c>
      <c r="F46" s="8">
        <f t="shared" si="4"/>
        <v>2.4127058294720439E-10</v>
      </c>
      <c r="G46" s="85">
        <v>1.1044989367258524E-13</v>
      </c>
      <c r="H46" s="8">
        <v>2184.43472351744</v>
      </c>
      <c r="I46" s="83">
        <v>0.23099999999999998</v>
      </c>
      <c r="J46" s="8"/>
      <c r="K46" s="8"/>
      <c r="L46" s="8">
        <f t="shared" si="18"/>
        <v>2.5513925438367191E-14</v>
      </c>
      <c r="M46" s="8">
        <f t="shared" ref="M46:M71" si="23">I46*G46</f>
        <v>2.5513925438367191E-14</v>
      </c>
      <c r="N46" s="8">
        <v>330.52250880000003</v>
      </c>
      <c r="O46" s="8"/>
      <c r="P46" s="8"/>
      <c r="Q46" s="8">
        <f>N46*G46</f>
        <v>3.650617595335612E-11</v>
      </c>
      <c r="R46" s="84">
        <f>N46*G46</f>
        <v>3.650617595335612E-11</v>
      </c>
      <c r="S46" s="8"/>
      <c r="T46" t="s">
        <v>43</v>
      </c>
      <c r="U46" t="s">
        <v>44</v>
      </c>
      <c r="V46" s="5" t="s">
        <v>45</v>
      </c>
      <c r="W46" s="5"/>
      <c r="X46" s="5"/>
      <c r="Y46" s="5"/>
      <c r="Z46" s="5"/>
      <c r="AA46" s="5"/>
      <c r="AB46" s="5"/>
    </row>
    <row r="47" spans="2:28" x14ac:dyDescent="0.35">
      <c r="B47" s="82" t="s">
        <v>20</v>
      </c>
      <c r="C47" t="s">
        <v>21</v>
      </c>
      <c r="D47" s="1">
        <v>2040</v>
      </c>
      <c r="E47" t="s">
        <v>22</v>
      </c>
      <c r="F47" s="8">
        <f t="shared" si="4"/>
        <v>0</v>
      </c>
      <c r="G47" s="85">
        <v>0</v>
      </c>
      <c r="H47" s="8">
        <v>4115.1539562367998</v>
      </c>
      <c r="I47" s="83">
        <v>0.36549999999999999</v>
      </c>
      <c r="J47" s="8"/>
      <c r="K47" s="8"/>
      <c r="L47" s="8">
        <f t="shared" si="18"/>
        <v>0</v>
      </c>
      <c r="M47" s="8">
        <f t="shared" si="23"/>
        <v>0</v>
      </c>
      <c r="N47" s="8">
        <v>402.68658988799996</v>
      </c>
      <c r="O47" s="8"/>
      <c r="P47" s="8"/>
      <c r="Q47" s="8">
        <f t="shared" ref="Q47:Q50" si="24">N47*G47</f>
        <v>0</v>
      </c>
      <c r="R47" s="84">
        <f t="shared" ref="R47:R50" si="25">N47*G47</f>
        <v>0</v>
      </c>
      <c r="S47" s="8"/>
      <c r="T47" t="s">
        <v>46</v>
      </c>
      <c r="U47" t="s">
        <v>47</v>
      </c>
      <c r="V47" s="5" t="s">
        <v>48</v>
      </c>
      <c r="W47" s="5"/>
      <c r="X47" s="5"/>
      <c r="Y47" s="5"/>
      <c r="Z47" s="5"/>
      <c r="AA47" s="5"/>
      <c r="AB47" s="5"/>
    </row>
    <row r="48" spans="2:28" x14ac:dyDescent="0.35">
      <c r="B48" s="82" t="s">
        <v>23</v>
      </c>
      <c r="C48" t="s">
        <v>24</v>
      </c>
      <c r="D48" s="1">
        <v>2040</v>
      </c>
      <c r="E48" t="s">
        <v>25</v>
      </c>
      <c r="F48" s="8">
        <f t="shared" si="4"/>
        <v>57122224.180966862</v>
      </c>
      <c r="G48" s="85">
        <v>29174.108945306409</v>
      </c>
      <c r="H48" s="8">
        <v>1957.9766527935999</v>
      </c>
      <c r="I48" s="83">
        <v>0.29749999999999999</v>
      </c>
      <c r="J48" s="8"/>
      <c r="K48" s="8"/>
      <c r="L48" s="8">
        <f t="shared" si="18"/>
        <v>8679.2974112286556</v>
      </c>
      <c r="M48" s="8">
        <f t="shared" si="23"/>
        <v>8679.2974112286556</v>
      </c>
      <c r="N48" s="8">
        <v>312.16014719999998</v>
      </c>
      <c r="O48" s="8"/>
      <c r="P48" s="8"/>
      <c r="Q48" s="8">
        <f t="shared" si="24"/>
        <v>9106994.1427956857</v>
      </c>
      <c r="R48" s="84">
        <f t="shared" si="25"/>
        <v>9106994.1427956857</v>
      </c>
      <c r="S48" s="8"/>
      <c r="T48" t="s">
        <v>49</v>
      </c>
      <c r="U48" t="s">
        <v>50</v>
      </c>
      <c r="V48" s="5" t="s">
        <v>51</v>
      </c>
      <c r="X48" s="5"/>
      <c r="Y48" s="5"/>
      <c r="Z48" s="5"/>
      <c r="AA48" s="5"/>
    </row>
    <row r="49" spans="2:27" x14ac:dyDescent="0.35">
      <c r="B49" s="82" t="s">
        <v>26</v>
      </c>
      <c r="C49" t="s">
        <v>27</v>
      </c>
      <c r="D49" s="1">
        <v>2040</v>
      </c>
      <c r="E49" t="s">
        <v>28</v>
      </c>
      <c r="F49" s="8">
        <f t="shared" si="4"/>
        <v>20283537.763952192</v>
      </c>
      <c r="G49" s="85">
        <v>10754.014740480003</v>
      </c>
      <c r="H49" s="8">
        <v>1886.1363177792</v>
      </c>
      <c r="I49" s="83">
        <v>0.48449999999999993</v>
      </c>
      <c r="J49" s="8"/>
      <c r="K49" s="8"/>
      <c r="L49" s="8">
        <f t="shared" si="18"/>
        <v>5210.3201417625605</v>
      </c>
      <c r="M49" s="8">
        <f t="shared" si="23"/>
        <v>5210.3201417625605</v>
      </c>
      <c r="N49" s="8">
        <v>238.802512608</v>
      </c>
      <c r="O49" s="8"/>
      <c r="P49" s="8"/>
      <c r="Q49" s="8">
        <f t="shared" si="24"/>
        <v>2568085.7406500936</v>
      </c>
      <c r="R49" s="84">
        <f t="shared" si="25"/>
        <v>2568085.7406500936</v>
      </c>
      <c r="S49" s="8"/>
      <c r="T49" t="s">
        <v>52</v>
      </c>
      <c r="U49" t="s">
        <v>53</v>
      </c>
      <c r="V49" s="5" t="s">
        <v>54</v>
      </c>
      <c r="W49" s="5"/>
      <c r="X49" s="5"/>
      <c r="Y49" s="5"/>
      <c r="Z49" s="5"/>
      <c r="AA49" s="5"/>
    </row>
    <row r="50" spans="2:27" x14ac:dyDescent="0.35">
      <c r="B50" s="82" t="s">
        <v>29</v>
      </c>
      <c r="C50" t="s">
        <v>24</v>
      </c>
      <c r="D50" s="1">
        <v>2040</v>
      </c>
      <c r="E50" t="s">
        <v>30</v>
      </c>
      <c r="F50" s="8">
        <f t="shared" si="4"/>
        <v>364039.12348477566</v>
      </c>
      <c r="G50" s="85">
        <v>400.42303488000033</v>
      </c>
      <c r="H50" s="8">
        <v>909.1363177792</v>
      </c>
      <c r="I50" s="83">
        <v>0.32300000000000001</v>
      </c>
      <c r="J50" s="8"/>
      <c r="K50" s="8"/>
      <c r="L50" s="8">
        <f t="shared" si="18"/>
        <v>129.33664026624012</v>
      </c>
      <c r="M50" s="8">
        <f t="shared" si="23"/>
        <v>129.33664026624012</v>
      </c>
      <c r="N50" s="8">
        <v>238.802512608</v>
      </c>
      <c r="O50" s="8"/>
      <c r="P50" s="8"/>
      <c r="Q50" s="8">
        <f t="shared" si="24"/>
        <v>95622.026835464902</v>
      </c>
      <c r="R50" s="84">
        <f t="shared" si="25"/>
        <v>95622.026835464902</v>
      </c>
      <c r="S50" s="8"/>
      <c r="T50" s="8"/>
    </row>
    <row r="51" spans="2:27" x14ac:dyDescent="0.35">
      <c r="B51" s="82" t="s">
        <v>31</v>
      </c>
      <c r="C51" t="s">
        <v>32</v>
      </c>
      <c r="D51" s="1">
        <v>2040</v>
      </c>
      <c r="E51" t="s">
        <v>33</v>
      </c>
      <c r="F51" s="8">
        <f t="shared" si="4"/>
        <v>-3.6647486036241297E-11</v>
      </c>
      <c r="G51" s="85">
        <v>-5.6678966309259944E-15</v>
      </c>
      <c r="H51" s="8">
        <v>6465.8</v>
      </c>
      <c r="I51" s="83">
        <v>0.62</v>
      </c>
      <c r="J51" s="8"/>
      <c r="K51" s="8"/>
      <c r="L51" s="8">
        <f t="shared" si="18"/>
        <v>-3.5140959111741165E-15</v>
      </c>
      <c r="M51" s="8">
        <f t="shared" si="23"/>
        <v>-3.5140959111741165E-15</v>
      </c>
      <c r="N51" s="8"/>
      <c r="O51" s="8"/>
      <c r="P51" s="8"/>
      <c r="Q51" s="8"/>
      <c r="R51" s="84"/>
      <c r="S51" s="8"/>
      <c r="T51" s="8"/>
    </row>
    <row r="52" spans="2:27" x14ac:dyDescent="0.35">
      <c r="B52" s="82" t="s">
        <v>34</v>
      </c>
      <c r="C52" t="s">
        <v>35</v>
      </c>
      <c r="D52" s="1">
        <v>2040</v>
      </c>
      <c r="E52" t="s">
        <v>36</v>
      </c>
      <c r="F52" s="8">
        <f t="shared" si="4"/>
        <v>0</v>
      </c>
      <c r="G52" s="85">
        <v>0</v>
      </c>
      <c r="H52" s="8">
        <v>6026.8</v>
      </c>
      <c r="I52" s="83">
        <v>0.62</v>
      </c>
      <c r="J52" s="8"/>
      <c r="K52" s="8"/>
      <c r="L52" s="8">
        <f t="shared" si="18"/>
        <v>0</v>
      </c>
      <c r="M52" s="8">
        <f t="shared" si="23"/>
        <v>0</v>
      </c>
      <c r="N52" s="8"/>
      <c r="O52" s="8"/>
      <c r="P52" s="8"/>
      <c r="Q52" s="8"/>
      <c r="R52" s="84"/>
      <c r="S52" s="8"/>
      <c r="T52" s="8"/>
    </row>
    <row r="53" spans="2:27" x14ac:dyDescent="0.35">
      <c r="B53" s="82" t="s">
        <v>37</v>
      </c>
      <c r="C53" t="s">
        <v>38</v>
      </c>
      <c r="D53" s="1">
        <v>2040</v>
      </c>
      <c r="E53" t="s">
        <v>39</v>
      </c>
      <c r="F53" s="8">
        <f t="shared" si="4"/>
        <v>0</v>
      </c>
      <c r="G53" s="85">
        <v>0</v>
      </c>
      <c r="H53" s="8">
        <v>7025.8</v>
      </c>
      <c r="I53" s="83">
        <v>0.62</v>
      </c>
      <c r="J53" s="8"/>
      <c r="K53" s="8"/>
      <c r="L53" s="8">
        <f t="shared" si="18"/>
        <v>0</v>
      </c>
      <c r="M53" s="8">
        <f t="shared" si="23"/>
        <v>0</v>
      </c>
      <c r="N53" s="8"/>
      <c r="O53" s="8"/>
      <c r="P53" s="8"/>
      <c r="Q53" s="8"/>
      <c r="R53" s="84"/>
      <c r="S53" s="8"/>
      <c r="T53" s="8"/>
    </row>
    <row r="54" spans="2:27" x14ac:dyDescent="0.35">
      <c r="B54" s="82" t="s">
        <v>40</v>
      </c>
      <c r="C54" t="s">
        <v>41</v>
      </c>
      <c r="D54" s="1">
        <v>2040</v>
      </c>
      <c r="E54" t="s">
        <v>42</v>
      </c>
      <c r="F54" s="8">
        <f t="shared" si="4"/>
        <v>0</v>
      </c>
      <c r="G54" s="85">
        <v>0</v>
      </c>
      <c r="H54" s="8">
        <v>5033.7800000000007</v>
      </c>
      <c r="I54" s="83">
        <v>0.33</v>
      </c>
      <c r="J54" s="8"/>
      <c r="K54" s="8"/>
      <c r="L54" s="8">
        <f t="shared" si="18"/>
        <v>0</v>
      </c>
      <c r="M54" s="8">
        <f t="shared" si="23"/>
        <v>0</v>
      </c>
      <c r="N54" s="8"/>
      <c r="O54" s="8"/>
      <c r="P54" s="8"/>
      <c r="Q54" s="8"/>
      <c r="R54" s="84"/>
      <c r="S54" s="8"/>
      <c r="T54" s="8"/>
    </row>
    <row r="55" spans="2:27" x14ac:dyDescent="0.35">
      <c r="B55" s="82" t="s">
        <v>43</v>
      </c>
      <c r="C55" t="s">
        <v>44</v>
      </c>
      <c r="D55" s="1">
        <v>2040</v>
      </c>
      <c r="E55" t="s">
        <v>45</v>
      </c>
      <c r="F55" s="8">
        <f t="shared" si="4"/>
        <v>-1.9807040340078074E-10</v>
      </c>
      <c r="G55" s="85">
        <v>-2.7884044086288844E-14</v>
      </c>
      <c r="H55" s="8">
        <v>7103.3600000000006</v>
      </c>
      <c r="I55" s="83">
        <v>0.24</v>
      </c>
      <c r="J55" s="8"/>
      <c r="K55" s="8"/>
      <c r="L55" s="8">
        <f t="shared" si="18"/>
        <v>-6.6921705807093224E-15</v>
      </c>
      <c r="M55" s="8">
        <f t="shared" si="23"/>
        <v>-6.6921705807093224E-15</v>
      </c>
      <c r="N55" s="8"/>
      <c r="O55" s="8"/>
      <c r="P55" s="8"/>
      <c r="Q55" s="8"/>
      <c r="R55" s="84"/>
      <c r="S55" s="8"/>
      <c r="T55" s="8"/>
    </row>
    <row r="56" spans="2:27" x14ac:dyDescent="0.35">
      <c r="B56" s="82" t="s">
        <v>46</v>
      </c>
      <c r="C56" t="s">
        <v>47</v>
      </c>
      <c r="D56" s="1">
        <v>2040</v>
      </c>
      <c r="E56" t="s">
        <v>48</v>
      </c>
      <c r="F56" s="8">
        <f t="shared" si="4"/>
        <v>5.8635332645874932E-10</v>
      </c>
      <c r="G56" s="85">
        <v>4.21849065051332E-14</v>
      </c>
      <c r="H56" s="8">
        <v>13899.599999999999</v>
      </c>
      <c r="I56" s="83">
        <v>0.29749999999999999</v>
      </c>
      <c r="J56" s="8"/>
      <c r="K56" s="8"/>
      <c r="L56" s="8">
        <f t="shared" si="18"/>
        <v>1.2550009685277127E-14</v>
      </c>
      <c r="M56" s="8">
        <f t="shared" si="23"/>
        <v>1.2550009685277127E-14</v>
      </c>
      <c r="N56" s="8"/>
      <c r="O56" s="8"/>
      <c r="P56" s="8"/>
      <c r="Q56" s="8"/>
      <c r="R56" s="84"/>
      <c r="S56" s="8"/>
      <c r="T56" s="8"/>
    </row>
    <row r="57" spans="2:27" x14ac:dyDescent="0.35">
      <c r="B57" s="82" t="s">
        <v>49</v>
      </c>
      <c r="C57" t="s">
        <v>50</v>
      </c>
      <c r="D57" s="1">
        <v>2040</v>
      </c>
      <c r="E57" t="s">
        <v>51</v>
      </c>
      <c r="F57" s="8">
        <f t="shared" si="4"/>
        <v>125598913.23516633</v>
      </c>
      <c r="G57" s="85">
        <v>68800.21102301011</v>
      </c>
      <c r="H57" s="8">
        <v>1825.56</v>
      </c>
      <c r="I57" s="83">
        <v>0.28999999999999998</v>
      </c>
      <c r="J57" s="8"/>
      <c r="K57" s="8"/>
      <c r="L57" s="8">
        <f t="shared" si="18"/>
        <v>19952.06119667293</v>
      </c>
      <c r="M57" s="8">
        <f t="shared" si="23"/>
        <v>19952.06119667293</v>
      </c>
      <c r="R57" s="86"/>
      <c r="S57" s="8"/>
      <c r="T57" s="8"/>
    </row>
    <row r="58" spans="2:27" x14ac:dyDescent="0.35">
      <c r="B58" s="82" t="s">
        <v>52</v>
      </c>
      <c r="C58" t="s">
        <v>53</v>
      </c>
      <c r="D58" s="1">
        <v>2040</v>
      </c>
      <c r="E58" t="s">
        <v>54</v>
      </c>
      <c r="F58" s="8">
        <f t="shared" si="4"/>
        <v>-4.5101898851068782E-11</v>
      </c>
      <c r="G58" s="85">
        <v>-1.1809871393314685E-14</v>
      </c>
      <c r="H58" s="8">
        <v>3819</v>
      </c>
      <c r="I58" s="83">
        <v>0.28999999999999998</v>
      </c>
      <c r="J58" s="8"/>
      <c r="K58" s="8"/>
      <c r="L58" s="8">
        <f t="shared" si="18"/>
        <v>-3.4248627040612584E-15</v>
      </c>
      <c r="M58" s="8">
        <f t="shared" si="23"/>
        <v>-3.4248627040612584E-15</v>
      </c>
      <c r="R58" s="86"/>
      <c r="S58" s="8"/>
      <c r="T58" s="8"/>
    </row>
    <row r="59" spans="2:27" x14ac:dyDescent="0.35">
      <c r="B59" s="82" t="s">
        <v>17</v>
      </c>
      <c r="C59" t="s">
        <v>18</v>
      </c>
      <c r="D59" s="1">
        <v>2050</v>
      </c>
      <c r="E59" t="s">
        <v>19</v>
      </c>
      <c r="F59" s="8">
        <f t="shared" si="4"/>
        <v>21300024.48069213</v>
      </c>
      <c r="G59" s="85">
        <v>9750.8175691302931</v>
      </c>
      <c r="H59" s="8">
        <v>2184.43472351744</v>
      </c>
      <c r="I59" s="83">
        <v>0.23099999999999998</v>
      </c>
      <c r="J59" s="8"/>
      <c r="K59" s="8"/>
      <c r="L59" s="8"/>
      <c r="M59" s="8">
        <f t="shared" si="23"/>
        <v>2252.4388584690973</v>
      </c>
      <c r="N59" s="8">
        <v>330.52250880000003</v>
      </c>
      <c r="O59" s="8"/>
      <c r="P59" s="8"/>
      <c r="Q59" s="8"/>
      <c r="R59" s="84">
        <f>N59*G59</f>
        <v>3222864.685800062</v>
      </c>
      <c r="S59" s="8"/>
      <c r="T59" s="8"/>
    </row>
    <row r="60" spans="2:27" x14ac:dyDescent="0.35">
      <c r="B60" s="82" t="s">
        <v>20</v>
      </c>
      <c r="C60" t="s">
        <v>21</v>
      </c>
      <c r="D60" s="1">
        <v>2050</v>
      </c>
      <c r="E60" t="s">
        <v>22</v>
      </c>
      <c r="F60" s="8">
        <f t="shared" si="4"/>
        <v>34738086.174830377</v>
      </c>
      <c r="G60" s="85">
        <v>8440.0628940800034</v>
      </c>
      <c r="H60" s="8">
        <v>4115.8563165679998</v>
      </c>
      <c r="I60" s="83">
        <v>0.36549999999999999</v>
      </c>
      <c r="J60" s="8"/>
      <c r="K60" s="8"/>
      <c r="L60" s="8"/>
      <c r="M60" s="8">
        <f t="shared" si="23"/>
        <v>3084.8429877862413</v>
      </c>
      <c r="N60" s="8">
        <v>402.68658988799996</v>
      </c>
      <c r="O60" s="8"/>
      <c r="P60" s="8"/>
      <c r="Q60" s="8"/>
      <c r="R60" s="84">
        <f t="shared" ref="R60:R63" si="26">N60*G60</f>
        <v>3398700.1452573203</v>
      </c>
      <c r="S60" s="8"/>
      <c r="T60" s="8"/>
    </row>
    <row r="61" spans="2:27" x14ac:dyDescent="0.35">
      <c r="B61" s="82" t="s">
        <v>23</v>
      </c>
      <c r="C61" t="s">
        <v>24</v>
      </c>
      <c r="D61" s="1">
        <v>2050</v>
      </c>
      <c r="E61" t="s">
        <v>25</v>
      </c>
      <c r="F61" s="8">
        <f t="shared" si="4"/>
        <v>19778367.228427187</v>
      </c>
      <c r="G61" s="85">
        <v>10046.608732303665</v>
      </c>
      <c r="H61" s="8">
        <v>1968.6610432863999</v>
      </c>
      <c r="I61" s="83">
        <v>0.29749999999999999</v>
      </c>
      <c r="J61" s="8"/>
      <c r="K61" s="8"/>
      <c r="L61" s="8"/>
      <c r="M61" s="8">
        <f t="shared" si="23"/>
        <v>2988.8660978603402</v>
      </c>
      <c r="N61" s="8">
        <v>312.16014719999998</v>
      </c>
      <c r="O61" s="8"/>
      <c r="P61" s="8"/>
      <c r="Q61" s="8"/>
      <c r="R61" s="84">
        <f t="shared" si="26"/>
        <v>3136150.860736717</v>
      </c>
      <c r="S61" s="8"/>
    </row>
    <row r="62" spans="2:27" x14ac:dyDescent="0.35">
      <c r="B62" s="82" t="s">
        <v>26</v>
      </c>
      <c r="C62" t="s">
        <v>27</v>
      </c>
      <c r="D62" s="1">
        <v>2050</v>
      </c>
      <c r="E62" t="s">
        <v>28</v>
      </c>
      <c r="F62" s="8">
        <f t="shared" si="4"/>
        <v>63396580.533371605</v>
      </c>
      <c r="G62" s="85">
        <v>33482.659457433605</v>
      </c>
      <c r="H62" s="8">
        <v>1893.415324848</v>
      </c>
      <c r="I62" s="83">
        <v>0.48449999999999993</v>
      </c>
      <c r="J62" s="8"/>
      <c r="K62" s="8"/>
      <c r="L62" s="8"/>
      <c r="M62" s="8">
        <f t="shared" si="23"/>
        <v>16222.348507126579</v>
      </c>
      <c r="N62" s="8">
        <v>238.802512608</v>
      </c>
      <c r="O62" s="8"/>
      <c r="P62" s="8"/>
      <c r="Q62" s="8"/>
      <c r="R62" s="84">
        <f t="shared" si="26"/>
        <v>7995743.2072331589</v>
      </c>
    </row>
    <row r="63" spans="2:27" x14ac:dyDescent="0.35">
      <c r="B63" s="82" t="s">
        <v>29</v>
      </c>
      <c r="C63" t="s">
        <v>24</v>
      </c>
      <c r="D63" s="1">
        <v>2050</v>
      </c>
      <c r="E63" t="s">
        <v>30</v>
      </c>
      <c r="F63" s="8">
        <f t="shared" si="4"/>
        <v>1142511.8530665936</v>
      </c>
      <c r="G63" s="85">
        <v>1246.7184060416</v>
      </c>
      <c r="H63" s="8">
        <v>916.41532484799995</v>
      </c>
      <c r="I63" s="83">
        <v>0.32300000000000001</v>
      </c>
      <c r="J63" s="8"/>
      <c r="K63" s="8"/>
      <c r="L63" s="8"/>
      <c r="M63" s="8">
        <f t="shared" si="23"/>
        <v>402.69004515143683</v>
      </c>
      <c r="N63" s="8">
        <v>238.802512608</v>
      </c>
      <c r="O63" s="8"/>
      <c r="P63" s="8"/>
      <c r="Q63" s="8"/>
      <c r="R63" s="84">
        <f t="shared" si="26"/>
        <v>297719.48787737486</v>
      </c>
    </row>
    <row r="64" spans="2:27" x14ac:dyDescent="0.35">
      <c r="B64" s="82" t="s">
        <v>31</v>
      </c>
      <c r="C64" t="s">
        <v>32</v>
      </c>
      <c r="D64" s="1">
        <v>2050</v>
      </c>
      <c r="E64" t="s">
        <v>33</v>
      </c>
      <c r="F64" s="8">
        <f t="shared" si="4"/>
        <v>-3.6581950002681926E-11</v>
      </c>
      <c r="G64" s="85">
        <v>-5.6577608343409822E-15</v>
      </c>
      <c r="H64" s="8">
        <v>6465.8</v>
      </c>
      <c r="I64" s="83">
        <v>0.62</v>
      </c>
      <c r="J64" s="8"/>
      <c r="K64" s="8"/>
      <c r="L64" s="8"/>
      <c r="M64" s="8">
        <f t="shared" si="23"/>
        <v>-3.5078117172914088E-15</v>
      </c>
      <c r="N64" s="8"/>
      <c r="O64" s="8"/>
      <c r="P64" s="8"/>
      <c r="Q64" s="8"/>
      <c r="R64" s="84"/>
    </row>
    <row r="65" spans="2:18" x14ac:dyDescent="0.35">
      <c r="B65" s="82" t="s">
        <v>34</v>
      </c>
      <c r="C65" t="s">
        <v>35</v>
      </c>
      <c r="D65" s="1">
        <v>2050</v>
      </c>
      <c r="E65" t="s">
        <v>36</v>
      </c>
      <c r="F65" s="8">
        <f t="shared" si="4"/>
        <v>0</v>
      </c>
      <c r="G65" s="85">
        <v>0</v>
      </c>
      <c r="H65" s="8">
        <v>6026.8</v>
      </c>
      <c r="I65" s="83">
        <v>0.62</v>
      </c>
      <c r="J65" s="8"/>
      <c r="K65" s="8"/>
      <c r="L65" s="8"/>
      <c r="M65" s="8">
        <f t="shared" si="23"/>
        <v>0</v>
      </c>
      <c r="N65" s="8"/>
      <c r="O65" s="8"/>
      <c r="P65" s="8"/>
      <c r="Q65" s="8"/>
      <c r="R65" s="84"/>
    </row>
    <row r="66" spans="2:18" x14ac:dyDescent="0.35">
      <c r="B66" s="82" t="s">
        <v>37</v>
      </c>
      <c r="C66" t="s">
        <v>38</v>
      </c>
      <c r="D66" s="1">
        <v>2050</v>
      </c>
      <c r="E66" t="s">
        <v>39</v>
      </c>
      <c r="F66" s="8">
        <f t="shared" si="4"/>
        <v>0</v>
      </c>
      <c r="G66" s="85">
        <v>0</v>
      </c>
      <c r="H66" s="8">
        <v>7025.8</v>
      </c>
      <c r="I66" s="83">
        <v>0.62</v>
      </c>
      <c r="J66" s="8"/>
      <c r="K66" s="8"/>
      <c r="L66" s="8"/>
      <c r="M66" s="8">
        <f t="shared" si="23"/>
        <v>0</v>
      </c>
      <c r="N66" s="8"/>
      <c r="O66" s="8"/>
      <c r="P66" s="8"/>
      <c r="Q66" s="8"/>
      <c r="R66" s="84"/>
    </row>
    <row r="67" spans="2:18" x14ac:dyDescent="0.35">
      <c r="B67" s="82" t="s">
        <v>40</v>
      </c>
      <c r="C67" t="s">
        <v>41</v>
      </c>
      <c r="D67" s="1">
        <v>2050</v>
      </c>
      <c r="E67" t="s">
        <v>42</v>
      </c>
      <c r="F67" s="8">
        <f t="shared" si="4"/>
        <v>120833023.5757851</v>
      </c>
      <c r="G67" s="85">
        <v>24369.210329839301</v>
      </c>
      <c r="H67" s="8">
        <v>4958.43</v>
      </c>
      <c r="I67" s="83">
        <v>0.33</v>
      </c>
      <c r="J67" s="8"/>
      <c r="K67" s="8"/>
      <c r="L67" s="8"/>
      <c r="M67" s="8">
        <f t="shared" si="23"/>
        <v>8041.8394088469695</v>
      </c>
      <c r="N67" s="8"/>
      <c r="O67" s="8"/>
      <c r="P67" s="8"/>
      <c r="Q67" s="8"/>
      <c r="R67" s="84"/>
    </row>
    <row r="68" spans="2:18" x14ac:dyDescent="0.35">
      <c r="B68" s="82" t="s">
        <v>43</v>
      </c>
      <c r="C68" t="s">
        <v>44</v>
      </c>
      <c r="D68" s="1">
        <v>2050</v>
      </c>
      <c r="E68" t="s">
        <v>45</v>
      </c>
      <c r="F68" s="8">
        <f t="shared" si="4"/>
        <v>6.8385606000737057E-10</v>
      </c>
      <c r="G68" s="85">
        <v>1.012860496505889E-13</v>
      </c>
      <c r="H68" s="8">
        <v>6751.73</v>
      </c>
      <c r="I68" s="83">
        <v>0.24</v>
      </c>
      <c r="J68" s="8"/>
      <c r="K68" s="8"/>
      <c r="L68" s="8"/>
      <c r="M68" s="8">
        <f t="shared" si="23"/>
        <v>2.4308651916141337E-14</v>
      </c>
      <c r="N68" s="8"/>
      <c r="O68" s="8"/>
      <c r="P68" s="8"/>
      <c r="Q68" s="8"/>
      <c r="R68" s="84"/>
    </row>
    <row r="69" spans="2:18" x14ac:dyDescent="0.35">
      <c r="B69" s="82" t="s">
        <v>46</v>
      </c>
      <c r="C69" t="s">
        <v>47</v>
      </c>
      <c r="D69" s="1">
        <v>2050</v>
      </c>
      <c r="E69" t="s">
        <v>48</v>
      </c>
      <c r="F69" s="8">
        <f t="shared" si="4"/>
        <v>3.8096340290180442E-11</v>
      </c>
      <c r="G69" s="85">
        <v>2.7408227783663161E-15</v>
      </c>
      <c r="H69" s="8">
        <v>13899.599999999999</v>
      </c>
      <c r="I69" s="83">
        <v>0.29749999999999999</v>
      </c>
      <c r="J69" s="8"/>
      <c r="K69" s="8"/>
      <c r="L69" s="8"/>
      <c r="M69" s="8">
        <f t="shared" si="23"/>
        <v>8.1539477656397902E-16</v>
      </c>
      <c r="N69" s="8"/>
      <c r="O69" s="8"/>
      <c r="P69" s="8"/>
      <c r="Q69" s="8"/>
      <c r="R69" s="84"/>
    </row>
    <row r="70" spans="2:18" x14ac:dyDescent="0.35">
      <c r="B70" s="82" t="s">
        <v>49</v>
      </c>
      <c r="C70" t="s">
        <v>50</v>
      </c>
      <c r="D70" s="1">
        <v>2050</v>
      </c>
      <c r="E70" t="s">
        <v>51</v>
      </c>
      <c r="F70" s="8">
        <f t="shared" si="4"/>
        <v>74782333.686622992</v>
      </c>
      <c r="G70" s="85">
        <v>46447.788976989861</v>
      </c>
      <c r="H70" s="8">
        <v>1610.0300000000002</v>
      </c>
      <c r="I70" s="83">
        <v>0.28999999999999998</v>
      </c>
      <c r="J70" s="8"/>
      <c r="K70" s="8"/>
      <c r="L70" s="8"/>
      <c r="M70" s="8">
        <f t="shared" si="23"/>
        <v>13469.858803327059</v>
      </c>
      <c r="R70" s="86"/>
    </row>
    <row r="71" spans="2:18" ht="16" thickBot="1" x14ac:dyDescent="0.4">
      <c r="B71" s="14" t="s">
        <v>52</v>
      </c>
      <c r="C71" s="15" t="s">
        <v>53</v>
      </c>
      <c r="D71" s="87">
        <v>2050</v>
      </c>
      <c r="E71" s="15" t="s">
        <v>54</v>
      </c>
      <c r="F71" s="88">
        <f t="shared" si="4"/>
        <v>29342140.799999993</v>
      </c>
      <c r="G71" s="85">
        <v>7683.199999999998</v>
      </c>
      <c r="H71" s="88">
        <v>3819</v>
      </c>
      <c r="I71" s="89">
        <v>0.28999999999999998</v>
      </c>
      <c r="J71" s="88"/>
      <c r="K71" s="88"/>
      <c r="L71" s="88"/>
      <c r="M71" s="88">
        <f t="shared" si="23"/>
        <v>2228.1279999999992</v>
      </c>
      <c r="N71" s="15"/>
      <c r="O71" s="15"/>
      <c r="P71" s="15"/>
      <c r="Q71" s="15"/>
      <c r="R71" s="90"/>
    </row>
  </sheetData>
  <mergeCells count="2">
    <mergeCell ref="I5:I6"/>
    <mergeCell ref="N5:N6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acktoone">
                <anchor moveWithCells="1" sizeWithCells="1">
                  <from>
                    <xdr:col>25</xdr:col>
                    <xdr:colOff>114300</xdr:colOff>
                    <xdr:row>0</xdr:row>
                    <xdr:rowOff>165100</xdr:rowOff>
                  </from>
                  <to>
                    <xdr:col>26</xdr:col>
                    <xdr:colOff>800100</xdr:colOff>
                    <xdr:row>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B7B80-1AA1-EE45-A1FB-C6715AA6E6C5}">
  <sheetPr codeName="Sheet2"/>
  <dimension ref="A1:Z77"/>
  <sheetViews>
    <sheetView zoomScale="118" workbookViewId="0">
      <selection activeCell="F9" sqref="F9"/>
    </sheetView>
  </sheetViews>
  <sheetFormatPr defaultColWidth="10.84375" defaultRowHeight="10.5" x14ac:dyDescent="0.25"/>
  <cols>
    <col min="1" max="1" width="7" style="18" customWidth="1"/>
    <col min="2" max="2" width="30.4609375" style="19" customWidth="1"/>
    <col min="3" max="6" width="15" style="19" customWidth="1"/>
    <col min="7" max="7" width="15" style="18" customWidth="1"/>
    <col min="8" max="8" width="10.84375" style="18"/>
    <col min="9" max="9" width="3.69140625" style="20" customWidth="1"/>
    <col min="10" max="11" width="10.84375" style="18"/>
    <col min="12" max="12" width="24.3046875" style="18" customWidth="1"/>
    <col min="13" max="16384" width="10.84375" style="18"/>
  </cols>
  <sheetData>
    <row r="1" spans="1:17" x14ac:dyDescent="0.25">
      <c r="B1" s="19" t="s">
        <v>58</v>
      </c>
      <c r="J1" s="21" t="s">
        <v>59</v>
      </c>
    </row>
    <row r="2" spans="1:17" x14ac:dyDescent="0.25">
      <c r="B2" s="22" t="s">
        <v>60</v>
      </c>
      <c r="M2" s="23" t="s">
        <v>61</v>
      </c>
      <c r="N2" s="23" t="s">
        <v>61</v>
      </c>
      <c r="O2" s="23" t="s">
        <v>61</v>
      </c>
      <c r="P2" s="23" t="s">
        <v>61</v>
      </c>
      <c r="Q2" s="23" t="s">
        <v>61</v>
      </c>
    </row>
    <row r="3" spans="1:17" x14ac:dyDescent="0.25">
      <c r="A3" s="24" t="s">
        <v>62</v>
      </c>
      <c r="B3" s="25"/>
      <c r="C3" s="26">
        <v>2015</v>
      </c>
      <c r="D3" s="26">
        <v>2016</v>
      </c>
      <c r="E3" s="26">
        <v>2017</v>
      </c>
      <c r="F3" s="26">
        <v>2018</v>
      </c>
      <c r="J3" s="18" t="s">
        <v>10</v>
      </c>
      <c r="K3" s="21" t="s">
        <v>11</v>
      </c>
      <c r="L3" s="21" t="s">
        <v>13</v>
      </c>
      <c r="M3" s="21" t="s">
        <v>62</v>
      </c>
      <c r="N3" s="23">
        <v>2020</v>
      </c>
      <c r="O3" s="23">
        <v>2030</v>
      </c>
      <c r="P3" s="23">
        <v>2040</v>
      </c>
      <c r="Q3" s="23">
        <v>2050</v>
      </c>
    </row>
    <row r="4" spans="1:17" x14ac:dyDescent="0.25">
      <c r="A4" s="25"/>
      <c r="B4" s="27" t="s">
        <v>19</v>
      </c>
      <c r="C4" s="28">
        <v>12484.47</v>
      </c>
      <c r="D4" s="28">
        <v>12402.47</v>
      </c>
      <c r="E4" s="28">
        <v>12319.47</v>
      </c>
      <c r="F4" s="28">
        <v>12271.47</v>
      </c>
      <c r="J4" s="18" t="s">
        <v>17</v>
      </c>
      <c r="K4" s="18" t="s">
        <v>18</v>
      </c>
      <c r="L4" s="18" t="str">
        <f>B4</f>
        <v>Biomass Power Plant</v>
      </c>
      <c r="M4" s="29">
        <f>F4</f>
        <v>12271.47</v>
      </c>
      <c r="N4" s="30"/>
      <c r="O4" s="30"/>
      <c r="P4" s="30"/>
      <c r="Q4" s="30"/>
    </row>
    <row r="5" spans="1:17" x14ac:dyDescent="0.25">
      <c r="A5" s="25"/>
      <c r="B5" s="27" t="s">
        <v>22</v>
      </c>
      <c r="C5" s="31">
        <v>4145.5</v>
      </c>
      <c r="D5" s="31">
        <v>4145.5</v>
      </c>
      <c r="E5" s="31">
        <v>4145.5</v>
      </c>
      <c r="F5" s="31">
        <v>4145.5</v>
      </c>
      <c r="J5" s="18" t="s">
        <v>20</v>
      </c>
      <c r="K5" s="18" t="s">
        <v>21</v>
      </c>
      <c r="L5" s="18" t="str">
        <f>B5</f>
        <v>Coal Power Plant</v>
      </c>
      <c r="M5" s="29">
        <f>F5</f>
        <v>4145.5</v>
      </c>
      <c r="N5" s="30"/>
      <c r="O5" s="30"/>
      <c r="P5" s="30"/>
      <c r="Q5" s="30"/>
    </row>
    <row r="6" spans="1:17" x14ac:dyDescent="0.25">
      <c r="A6" s="25"/>
      <c r="B6" s="27" t="s">
        <v>25</v>
      </c>
      <c r="C6" s="28">
        <v>13455.16</v>
      </c>
      <c r="D6" s="28">
        <v>13454.16</v>
      </c>
      <c r="E6" s="28">
        <v>13448.16</v>
      </c>
      <c r="F6" s="28">
        <v>13403.16</v>
      </c>
      <c r="J6" s="18" t="s">
        <v>23</v>
      </c>
      <c r="K6" s="18" t="s">
        <v>24</v>
      </c>
      <c r="L6" s="18" t="str">
        <f>B6</f>
        <v>Oil Fired Gas Turbine (SCGT)</v>
      </c>
      <c r="M6" s="29">
        <f>F6</f>
        <v>13403.16</v>
      </c>
      <c r="N6" s="30"/>
      <c r="O6" s="30"/>
      <c r="P6" s="30"/>
      <c r="Q6" s="30"/>
    </row>
    <row r="7" spans="1:17" x14ac:dyDescent="0.25">
      <c r="A7" s="25"/>
      <c r="B7" s="27" t="s">
        <v>28</v>
      </c>
      <c r="C7" s="28">
        <v>19287.36</v>
      </c>
      <c r="D7" s="28">
        <v>19287.36</v>
      </c>
      <c r="E7" s="28">
        <v>19287.36</v>
      </c>
      <c r="F7" s="28">
        <v>19287.36</v>
      </c>
      <c r="J7" s="18" t="s">
        <v>26</v>
      </c>
      <c r="K7" s="18" t="s">
        <v>27</v>
      </c>
      <c r="L7" s="18" t="str">
        <f>B7</f>
        <v>Gas Power Plant (CCGT)</v>
      </c>
      <c r="M7" s="29">
        <f>F7</f>
        <v>19287.36</v>
      </c>
      <c r="N7" s="30"/>
      <c r="O7" s="30"/>
      <c r="P7" s="30"/>
      <c r="Q7" s="30"/>
    </row>
    <row r="8" spans="1:17" x14ac:dyDescent="0.25">
      <c r="A8" s="25"/>
      <c r="B8" s="27" t="s">
        <v>30</v>
      </c>
      <c r="C8" s="28">
        <v>758.16</v>
      </c>
      <c r="D8" s="28">
        <v>718.16</v>
      </c>
      <c r="E8" s="28">
        <v>718.16</v>
      </c>
      <c r="F8" s="28">
        <v>718.16</v>
      </c>
      <c r="J8" s="18" t="s">
        <v>29</v>
      </c>
      <c r="K8" s="18" t="s">
        <v>24</v>
      </c>
      <c r="L8" s="18" t="str">
        <f>B8</f>
        <v>Gas Power Plant (SCGT)</v>
      </c>
      <c r="M8" s="29">
        <f>F8</f>
        <v>718.16</v>
      </c>
      <c r="N8" s="30"/>
      <c r="O8" s="30"/>
      <c r="P8" s="30"/>
      <c r="Q8" s="30"/>
    </row>
    <row r="9" spans="1:17" x14ac:dyDescent="0.25">
      <c r="A9" s="25"/>
      <c r="B9" s="32" t="s">
        <v>51</v>
      </c>
      <c r="C9" s="33">
        <v>6</v>
      </c>
      <c r="D9" s="33">
        <v>6</v>
      </c>
      <c r="E9" s="33">
        <v>6</v>
      </c>
      <c r="F9" s="33">
        <v>6</v>
      </c>
      <c r="J9" s="18" t="s">
        <v>31</v>
      </c>
      <c r="K9" s="18" t="s">
        <v>32</v>
      </c>
      <c r="L9" s="18" t="str">
        <f>B10</f>
        <v>Large Hydropower Plant (Dam) (&gt;100MW)</v>
      </c>
      <c r="M9" s="29">
        <f>F10</f>
        <v>88787</v>
      </c>
      <c r="N9" s="30"/>
      <c r="O9" s="30"/>
      <c r="P9" s="30"/>
      <c r="Q9" s="30"/>
    </row>
    <row r="10" spans="1:17" x14ac:dyDescent="0.25">
      <c r="A10" s="25"/>
      <c r="B10" s="27" t="s">
        <v>33</v>
      </c>
      <c r="C10" s="31">
        <v>88787</v>
      </c>
      <c r="D10" s="31">
        <v>88787</v>
      </c>
      <c r="E10" s="31">
        <v>88787</v>
      </c>
      <c r="F10" s="31">
        <v>88787</v>
      </c>
      <c r="J10" s="18" t="s">
        <v>34</v>
      </c>
      <c r="K10" s="18" t="s">
        <v>35</v>
      </c>
      <c r="L10" s="18" t="str">
        <f>B11</f>
        <v>Medium Hydropower Plant (10-100MW)</v>
      </c>
      <c r="M10" s="29">
        <f>F11</f>
        <v>6917</v>
      </c>
      <c r="N10" s="30"/>
      <c r="O10" s="30"/>
      <c r="P10" s="30"/>
      <c r="Q10" s="30"/>
    </row>
    <row r="11" spans="1:17" x14ac:dyDescent="0.25">
      <c r="A11" s="25"/>
      <c r="B11" s="27" t="s">
        <v>36</v>
      </c>
      <c r="C11" s="31">
        <v>6917</v>
      </c>
      <c r="D11" s="31">
        <v>6917</v>
      </c>
      <c r="E11" s="31">
        <v>6917</v>
      </c>
      <c r="F11" s="31">
        <v>6917</v>
      </c>
      <c r="J11" s="18" t="s">
        <v>37</v>
      </c>
      <c r="K11" s="18" t="s">
        <v>38</v>
      </c>
      <c r="L11" s="18" t="str">
        <f>B12</f>
        <v>Small Hydropower Plant (&lt;10MW)</v>
      </c>
      <c r="M11" s="29">
        <f>F12</f>
        <v>1062</v>
      </c>
      <c r="N11" s="30"/>
      <c r="O11" s="30"/>
      <c r="P11" s="30"/>
      <c r="Q11" s="30"/>
    </row>
    <row r="12" spans="1:17" x14ac:dyDescent="0.25">
      <c r="A12" s="25"/>
      <c r="B12" s="27" t="s">
        <v>39</v>
      </c>
      <c r="C12" s="31">
        <v>1068</v>
      </c>
      <c r="D12" s="31">
        <v>1064</v>
      </c>
      <c r="E12" s="31">
        <v>1063</v>
      </c>
      <c r="F12" s="31">
        <v>1062</v>
      </c>
      <c r="J12" s="18" t="s">
        <v>40</v>
      </c>
      <c r="K12" s="18" t="s">
        <v>41</v>
      </c>
      <c r="L12" s="18" t="str">
        <f>B13</f>
        <v>Onshore Wind</v>
      </c>
      <c r="M12" s="29">
        <f>F13</f>
        <v>11378.17</v>
      </c>
      <c r="N12" s="30"/>
      <c r="O12" s="30"/>
      <c r="P12" s="30"/>
      <c r="Q12" s="30"/>
    </row>
    <row r="13" spans="1:17" x14ac:dyDescent="0.25">
      <c r="A13" s="25"/>
      <c r="B13" s="27" t="s">
        <v>42</v>
      </c>
      <c r="C13" s="28">
        <v>11383.17</v>
      </c>
      <c r="D13" s="28">
        <v>11383.17</v>
      </c>
      <c r="E13" s="28">
        <v>11383.17</v>
      </c>
      <c r="F13" s="28">
        <v>11378.17</v>
      </c>
      <c r="J13" s="18" t="s">
        <v>43</v>
      </c>
      <c r="K13" s="18" t="s">
        <v>44</v>
      </c>
      <c r="L13" s="18" t="str">
        <f>B33</f>
        <v>Offshore Wind</v>
      </c>
      <c r="M13" s="18">
        <f>0</f>
        <v>0</v>
      </c>
      <c r="N13" s="30"/>
      <c r="O13" s="30"/>
      <c r="P13" s="30"/>
      <c r="Q13" s="30"/>
    </row>
    <row r="14" spans="1:17" x14ac:dyDescent="0.25">
      <c r="A14" s="25"/>
      <c r="B14" s="27" t="s">
        <v>48</v>
      </c>
      <c r="C14" s="31">
        <v>1990</v>
      </c>
      <c r="D14" s="31">
        <v>1990</v>
      </c>
      <c r="E14" s="31">
        <v>1990</v>
      </c>
      <c r="F14" s="31">
        <v>1990</v>
      </c>
      <c r="J14" s="18" t="s">
        <v>46</v>
      </c>
      <c r="K14" s="18" t="s">
        <v>47</v>
      </c>
      <c r="L14" s="18" t="str">
        <f>B14</f>
        <v>Nuclear Power Plant</v>
      </c>
      <c r="M14" s="29">
        <f>F14</f>
        <v>1990</v>
      </c>
      <c r="N14" s="30"/>
      <c r="O14" s="30"/>
      <c r="P14" s="30"/>
      <c r="Q14" s="30"/>
    </row>
    <row r="15" spans="1:17" x14ac:dyDescent="0.25">
      <c r="A15" s="25"/>
      <c r="B15" s="32" t="s">
        <v>54</v>
      </c>
      <c r="C15" s="34">
        <v>3.93</v>
      </c>
      <c r="D15" s="34">
        <v>4.09</v>
      </c>
      <c r="E15" s="34">
        <v>7.21</v>
      </c>
      <c r="F15" s="34">
        <v>7.23</v>
      </c>
      <c r="J15" s="35" t="s">
        <v>49</v>
      </c>
      <c r="K15" s="35" t="s">
        <v>50</v>
      </c>
      <c r="L15" s="35" t="str">
        <f>B9</f>
        <v>Solar PV (Utility)</v>
      </c>
      <c r="M15" s="36">
        <f>F9</f>
        <v>6</v>
      </c>
    </row>
    <row r="16" spans="1:17" x14ac:dyDescent="0.25">
      <c r="A16" s="25"/>
      <c r="B16" s="37" t="s">
        <v>63</v>
      </c>
      <c r="C16" s="38">
        <v>0.02</v>
      </c>
      <c r="D16" s="38">
        <v>0.02</v>
      </c>
      <c r="E16" s="38">
        <v>0.02</v>
      </c>
      <c r="F16" s="38">
        <v>0.02</v>
      </c>
      <c r="J16" s="35" t="s">
        <v>52</v>
      </c>
      <c r="K16" s="35" t="s">
        <v>53</v>
      </c>
      <c r="L16" s="35" t="str">
        <f>B15</f>
        <v>Off-grid Solar PV</v>
      </c>
      <c r="M16" s="39">
        <f>F15</f>
        <v>7.23</v>
      </c>
    </row>
    <row r="17" spans="1:26" x14ac:dyDescent="0.25">
      <c r="C17" s="40">
        <f>SUM(C4:C16)</f>
        <v>160285.77000000002</v>
      </c>
      <c r="D17" s="40">
        <f>SUM(D4:D16)</f>
        <v>160158.93000000002</v>
      </c>
      <c r="E17" s="40">
        <f t="shared" ref="E17:F17" si="0">SUM(E4:E16)</f>
        <v>160072.05000000002</v>
      </c>
      <c r="F17" s="40">
        <f t="shared" si="0"/>
        <v>159973.07000000004</v>
      </c>
    </row>
    <row r="18" spans="1:26" x14ac:dyDescent="0.25">
      <c r="J18" s="21" t="s">
        <v>16</v>
      </c>
      <c r="S18" s="41" t="s">
        <v>64</v>
      </c>
      <c r="T18" s="18" t="s">
        <v>65</v>
      </c>
      <c r="U18" s="19" t="s">
        <v>66</v>
      </c>
    </row>
    <row r="19" spans="1:26" x14ac:dyDescent="0.25">
      <c r="A19" s="42" t="s">
        <v>67</v>
      </c>
      <c r="B19" s="19" t="s">
        <v>68</v>
      </c>
      <c r="C19" s="19" t="s">
        <v>69</v>
      </c>
      <c r="D19" s="19" t="s">
        <v>70</v>
      </c>
      <c r="E19" s="19" t="s">
        <v>71</v>
      </c>
      <c r="F19" s="19" t="s">
        <v>72</v>
      </c>
      <c r="G19" s="19" t="s">
        <v>73</v>
      </c>
      <c r="J19" s="18" t="s">
        <v>10</v>
      </c>
      <c r="K19" s="18" t="s">
        <v>11</v>
      </c>
      <c r="L19" s="18" t="s">
        <v>13</v>
      </c>
      <c r="M19" s="23">
        <v>2018</v>
      </c>
      <c r="N19" s="23">
        <v>2020</v>
      </c>
      <c r="O19" s="23">
        <v>2030</v>
      </c>
      <c r="P19" s="23">
        <v>2040</v>
      </c>
      <c r="Q19" s="23">
        <v>2050</v>
      </c>
      <c r="S19" s="18" t="s">
        <v>10</v>
      </c>
      <c r="T19" s="18" t="s">
        <v>11</v>
      </c>
      <c r="U19" s="18" t="s">
        <v>13</v>
      </c>
      <c r="V19" s="23">
        <v>2018</v>
      </c>
      <c r="W19" s="23">
        <v>2020</v>
      </c>
      <c r="X19" s="23">
        <v>2030</v>
      </c>
      <c r="Y19" s="23">
        <v>2040</v>
      </c>
      <c r="Z19" s="23">
        <v>2050</v>
      </c>
    </row>
    <row r="20" spans="1:26" x14ac:dyDescent="0.25">
      <c r="A20" s="43"/>
      <c r="B20" s="44" t="s">
        <v>19</v>
      </c>
      <c r="C20" s="31">
        <v>1905</v>
      </c>
      <c r="D20" s="31">
        <v>13</v>
      </c>
      <c r="E20" s="45">
        <v>25</v>
      </c>
      <c r="F20" s="28">
        <v>0.35</v>
      </c>
      <c r="G20" s="28">
        <v>0.66</v>
      </c>
      <c r="J20" s="18" t="s">
        <v>17</v>
      </c>
      <c r="K20" s="18" t="s">
        <v>18</v>
      </c>
      <c r="L20" s="46" t="s">
        <v>19</v>
      </c>
      <c r="M20" s="47">
        <f>D20*20+V20</f>
        <v>279.43472351743998</v>
      </c>
      <c r="N20" s="47">
        <f>$D$20*20+$C$40+W20</f>
        <v>2184.43472351744</v>
      </c>
      <c r="O20" s="47">
        <f t="shared" ref="O20:Q20" si="1">$D$20*20+$C$40+X20</f>
        <v>2184.43472351744</v>
      </c>
      <c r="P20" s="47">
        <f t="shared" si="1"/>
        <v>2184.43472351744</v>
      </c>
      <c r="Q20" s="47">
        <f t="shared" si="1"/>
        <v>2184.43472351744</v>
      </c>
      <c r="S20" s="18" t="s">
        <v>17</v>
      </c>
      <c r="T20" s="18" t="s">
        <v>18</v>
      </c>
      <c r="U20" s="46" t="s">
        <v>19</v>
      </c>
      <c r="V20" s="18">
        <f>0.000057168*365*24*10*$G$20*AVERAGE(C54:C55)</f>
        <v>19.434723517440002</v>
      </c>
      <c r="W20" s="18">
        <f t="shared" ref="W20:Z20" si="2">0.000057168*365*24*10*$G$20*AVERAGE(D54:D55)</f>
        <v>19.434723517440002</v>
      </c>
      <c r="X20" s="18">
        <f t="shared" si="2"/>
        <v>19.434723517440002</v>
      </c>
      <c r="Y20" s="18">
        <f t="shared" si="2"/>
        <v>19.434723517440002</v>
      </c>
      <c r="Z20" s="18">
        <f t="shared" si="2"/>
        <v>19.434723517440002</v>
      </c>
    </row>
    <row r="21" spans="1:26" x14ac:dyDescent="0.25">
      <c r="A21" s="43"/>
      <c r="B21" s="44" t="s">
        <v>22</v>
      </c>
      <c r="C21" s="31">
        <v>2500</v>
      </c>
      <c r="D21" s="31">
        <v>40</v>
      </c>
      <c r="E21" s="45">
        <v>40</v>
      </c>
      <c r="F21" s="28">
        <v>0.43</v>
      </c>
      <c r="G21" s="28">
        <v>0.85</v>
      </c>
      <c r="J21" s="18" t="s">
        <v>20</v>
      </c>
      <c r="K21" s="18" t="s">
        <v>21</v>
      </c>
      <c r="L21" s="46" t="s">
        <v>22</v>
      </c>
      <c r="M21" s="47">
        <f>$D$21*40+V21</f>
        <v>1613.0043079504001</v>
      </c>
      <c r="N21" s="47">
        <f>$D$21*40+$C$21+W21</f>
        <v>4114.4303122592</v>
      </c>
      <c r="O21" s="47">
        <f t="shared" ref="O21:Q21" si="3">$D$21*40+$C$21+X21</f>
        <v>4114.7921342480004</v>
      </c>
      <c r="P21" s="47">
        <f t="shared" si="3"/>
        <v>4115.1539562367998</v>
      </c>
      <c r="Q21" s="47">
        <f t="shared" si="3"/>
        <v>4115.8563165679998</v>
      </c>
      <c r="S21" s="18" t="s">
        <v>20</v>
      </c>
      <c r="T21" s="18" t="s">
        <v>21</v>
      </c>
      <c r="U21" s="46" t="s">
        <v>22</v>
      </c>
      <c r="V21" s="18">
        <f>0.000057168*365*24*10*$G$21*AVERAGE(C56:C57)</f>
        <v>13.004307950400001</v>
      </c>
      <c r="W21" s="18">
        <f t="shared" ref="W21:Z21" si="4">0.000057168*365*24*10*$G$21*AVERAGE(D56:D57)</f>
        <v>14.430312259199999</v>
      </c>
      <c r="X21" s="18">
        <f t="shared" si="4"/>
        <v>14.792134248</v>
      </c>
      <c r="Y21" s="18">
        <f t="shared" si="4"/>
        <v>15.153956236800001</v>
      </c>
      <c r="Z21" s="18">
        <f t="shared" si="4"/>
        <v>15.856316567999999</v>
      </c>
    </row>
    <row r="22" spans="1:26" x14ac:dyDescent="0.25">
      <c r="A22" s="43"/>
      <c r="B22" s="19" t="s">
        <v>74</v>
      </c>
      <c r="C22" s="28">
        <v>3796.47</v>
      </c>
      <c r="D22" s="31">
        <v>100</v>
      </c>
      <c r="E22" s="45">
        <v>20</v>
      </c>
      <c r="F22" s="28">
        <v>0.11</v>
      </c>
      <c r="G22" s="28">
        <v>0.85</v>
      </c>
      <c r="J22" s="18" t="s">
        <v>23</v>
      </c>
      <c r="K22" s="18" t="s">
        <v>24</v>
      </c>
      <c r="L22" s="46" t="s">
        <v>25</v>
      </c>
      <c r="M22" s="47">
        <f>$D$24*20+V22</f>
        <v>553.40066881760004</v>
      </c>
      <c r="N22" s="47">
        <f>$C$24+$D$24*20+W22</f>
        <v>1949.5696124655999</v>
      </c>
      <c r="O22" s="47">
        <f t="shared" ref="O22:Q22" si="5">$C$24+$D$24*20+X22</f>
        <v>1951.8469626304</v>
      </c>
      <c r="P22" s="47">
        <f t="shared" si="5"/>
        <v>1957.9766527935999</v>
      </c>
      <c r="Q22" s="47">
        <f t="shared" si="5"/>
        <v>1968.6610432863999</v>
      </c>
      <c r="S22" s="18" t="s">
        <v>23</v>
      </c>
      <c r="T22" s="18" t="s">
        <v>24</v>
      </c>
      <c r="U22" s="46" t="s">
        <v>25</v>
      </c>
      <c r="V22" s="18">
        <f>0.000057168*365*24*10*$G$24*AVERAGE(C52:C53)</f>
        <v>53.4006688176</v>
      </c>
      <c r="W22" s="18">
        <f>0.000057168*365*24*10*$G$24*AVERAGE(D52:D53)</f>
        <v>49.569612465600002</v>
      </c>
      <c r="X22" s="18">
        <f>0.000057168*365*24*10*$G$24*AVERAGE(E52:E53)</f>
        <v>51.8469626304</v>
      </c>
      <c r="Y22" s="18">
        <f>0.000057168*365*24*10*$G$24*AVERAGE(F52:F53)</f>
        <v>57.976652793600003</v>
      </c>
      <c r="Z22" s="18">
        <f>0.000057168*365*24*10*$G$24*AVERAGE(G52:G53)</f>
        <v>68.661043286400002</v>
      </c>
    </row>
    <row r="23" spans="1:26" x14ac:dyDescent="0.25">
      <c r="A23" s="43"/>
      <c r="B23" s="19" t="s">
        <v>75</v>
      </c>
      <c r="C23" s="31">
        <v>1200</v>
      </c>
      <c r="D23" s="31">
        <v>15</v>
      </c>
      <c r="E23" s="45">
        <v>25</v>
      </c>
      <c r="F23" s="28">
        <v>0.35</v>
      </c>
      <c r="G23" s="28">
        <v>0.85</v>
      </c>
      <c r="J23" s="18" t="s">
        <v>26</v>
      </c>
      <c r="K23" s="18" t="s">
        <v>27</v>
      </c>
      <c r="L23" s="46" t="s">
        <v>28</v>
      </c>
      <c r="M23" s="47">
        <f>$D$25*30+V23</f>
        <v>615.26037446880002</v>
      </c>
      <c r="N23" s="47">
        <f>$D$25*30+W23+$C$25</f>
        <v>1878.8785943568</v>
      </c>
      <c r="O23" s="47">
        <f t="shared" ref="O23:Q23" si="6">$D$25*30+X23+$C$25</f>
        <v>1882.5180978911999</v>
      </c>
      <c r="P23" s="47">
        <f t="shared" si="6"/>
        <v>1886.1363177792</v>
      </c>
      <c r="Q23" s="47">
        <f t="shared" si="6"/>
        <v>1893.415324848</v>
      </c>
      <c r="S23" s="18" t="s">
        <v>26</v>
      </c>
      <c r="T23" s="18" t="s">
        <v>27</v>
      </c>
      <c r="U23" s="46" t="s">
        <v>28</v>
      </c>
      <c r="V23" s="18">
        <f>0.000057168*365*24*10*$G$25*AVERAGE(C60:C61)</f>
        <v>15.2603744688</v>
      </c>
      <c r="W23" s="18">
        <f t="shared" ref="W23:Z23" si="7">0.000057168*365*24*10*$G$25*AVERAGE(D60:D61)</f>
        <v>18.878594356800001</v>
      </c>
      <c r="X23" s="18">
        <f t="shared" si="7"/>
        <v>22.5180978912</v>
      </c>
      <c r="Y23" s="18">
        <f t="shared" si="7"/>
        <v>26.136317779199999</v>
      </c>
      <c r="Z23" s="18">
        <f t="shared" si="7"/>
        <v>33.415324848000004</v>
      </c>
    </row>
    <row r="24" spans="1:26" x14ac:dyDescent="0.25">
      <c r="A24" s="43"/>
      <c r="B24" s="44" t="s">
        <v>25</v>
      </c>
      <c r="C24" s="31">
        <v>1400</v>
      </c>
      <c r="D24" s="31">
        <v>25</v>
      </c>
      <c r="E24" s="45">
        <v>25</v>
      </c>
      <c r="F24" s="28">
        <v>0.35</v>
      </c>
      <c r="G24" s="28">
        <v>0.85</v>
      </c>
      <c r="J24" s="18" t="s">
        <v>29</v>
      </c>
      <c r="K24" s="18" t="s">
        <v>24</v>
      </c>
      <c r="L24" s="46" t="s">
        <v>30</v>
      </c>
      <c r="M24" s="47">
        <f>$D$26*30+V24</f>
        <v>315.26037446880002</v>
      </c>
      <c r="N24" s="47">
        <f>$D$26*30+W24+$C$26</f>
        <v>901.87859435680002</v>
      </c>
      <c r="O24" s="47">
        <f t="shared" ref="O24:Q24" si="8">$D$26*30+X24+$C$26</f>
        <v>905.5180978912</v>
      </c>
      <c r="P24" s="47">
        <f t="shared" si="8"/>
        <v>909.1363177792</v>
      </c>
      <c r="Q24" s="47">
        <f t="shared" si="8"/>
        <v>916.41532484799995</v>
      </c>
      <c r="S24" s="18" t="s">
        <v>29</v>
      </c>
      <c r="T24" s="18" t="s">
        <v>24</v>
      </c>
      <c r="U24" s="46" t="s">
        <v>30</v>
      </c>
      <c r="V24" s="18">
        <f>0.000057168*365*24*10*$G$26*AVERAGE(C60:C61)</f>
        <v>15.2603744688</v>
      </c>
      <c r="W24" s="18">
        <f t="shared" ref="W24:Z24" si="9">0.000057168*365*24*10*$G$26*AVERAGE(D60:D61)</f>
        <v>18.878594356800001</v>
      </c>
      <c r="X24" s="18">
        <f t="shared" si="9"/>
        <v>22.5180978912</v>
      </c>
      <c r="Y24" s="18">
        <f t="shared" si="9"/>
        <v>26.136317779199999</v>
      </c>
      <c r="Z24" s="18">
        <f t="shared" si="9"/>
        <v>33.415324848000004</v>
      </c>
    </row>
    <row r="25" spans="1:26" x14ac:dyDescent="0.25">
      <c r="A25" s="43"/>
      <c r="B25" s="44" t="s">
        <v>28</v>
      </c>
      <c r="C25" s="31">
        <v>1260</v>
      </c>
      <c r="D25" s="31">
        <v>20</v>
      </c>
      <c r="E25" s="45">
        <v>30</v>
      </c>
      <c r="F25" s="28">
        <v>0.56999999999999995</v>
      </c>
      <c r="G25" s="28">
        <v>0.85</v>
      </c>
      <c r="J25" s="18" t="s">
        <v>31</v>
      </c>
      <c r="K25" s="18" t="s">
        <v>32</v>
      </c>
      <c r="L25" s="35" t="s">
        <v>33</v>
      </c>
      <c r="M25" s="18">
        <f>D29*40</f>
        <v>3526.8</v>
      </c>
      <c r="N25" s="47">
        <f>$M$25+D43</f>
        <v>6465.8</v>
      </c>
      <c r="O25" s="47">
        <f t="shared" ref="O25:Q29" si="10">$M$25+E43</f>
        <v>6465.8</v>
      </c>
      <c r="P25" s="47">
        <f t="shared" si="10"/>
        <v>6465.8</v>
      </c>
      <c r="Q25" s="47">
        <f t="shared" si="10"/>
        <v>6465.8</v>
      </c>
      <c r="S25" s="18" t="s">
        <v>31</v>
      </c>
      <c r="T25" s="18" t="s">
        <v>32</v>
      </c>
      <c r="U25" s="35" t="s">
        <v>33</v>
      </c>
      <c r="W25" s="47"/>
      <c r="X25" s="47"/>
      <c r="Y25" s="47"/>
      <c r="Z25" s="47"/>
    </row>
    <row r="26" spans="1:26" x14ac:dyDescent="0.25">
      <c r="A26" s="43"/>
      <c r="B26" s="44" t="s">
        <v>30</v>
      </c>
      <c r="C26" s="31">
        <v>583</v>
      </c>
      <c r="D26" s="31">
        <v>10</v>
      </c>
      <c r="E26" s="45">
        <v>30</v>
      </c>
      <c r="F26" s="28">
        <v>0.38</v>
      </c>
      <c r="G26" s="28">
        <v>0.85</v>
      </c>
      <c r="J26" s="18" t="s">
        <v>34</v>
      </c>
      <c r="K26" s="18" t="s">
        <v>35</v>
      </c>
      <c r="L26" s="35" t="s">
        <v>36</v>
      </c>
      <c r="M26" s="18">
        <f>D30*40</f>
        <v>3000</v>
      </c>
      <c r="N26" s="47">
        <f t="shared" ref="N26:N29" si="11">$M$25+D44</f>
        <v>6026.8</v>
      </c>
      <c r="O26" s="47">
        <f t="shared" si="10"/>
        <v>6026.8</v>
      </c>
      <c r="P26" s="47">
        <f t="shared" si="10"/>
        <v>6026.8</v>
      </c>
      <c r="Q26" s="47">
        <f t="shared" si="10"/>
        <v>6026.8</v>
      </c>
      <c r="S26" s="18" t="s">
        <v>34</v>
      </c>
      <c r="T26" s="18" t="s">
        <v>35</v>
      </c>
      <c r="U26" s="35" t="s">
        <v>36</v>
      </c>
      <c r="W26" s="47"/>
      <c r="X26" s="47"/>
      <c r="Y26" s="47"/>
      <c r="Z26" s="47"/>
    </row>
    <row r="27" spans="1:26" x14ac:dyDescent="0.25">
      <c r="A27" s="43"/>
      <c r="B27" s="19" t="s">
        <v>51</v>
      </c>
      <c r="C27" s="28">
        <v>1791.02</v>
      </c>
      <c r="D27" s="28">
        <v>23.28</v>
      </c>
      <c r="E27" s="45">
        <v>25</v>
      </c>
      <c r="F27" s="31">
        <v>1</v>
      </c>
      <c r="G27" s="28">
        <v>0.28999999999999998</v>
      </c>
      <c r="J27" s="18" t="s">
        <v>37</v>
      </c>
      <c r="K27" s="18" t="s">
        <v>38</v>
      </c>
      <c r="L27" s="35" t="s">
        <v>39</v>
      </c>
      <c r="M27" s="18">
        <f>D31*40</f>
        <v>4198.8</v>
      </c>
      <c r="N27" s="47">
        <f t="shared" si="11"/>
        <v>7025.8</v>
      </c>
      <c r="O27" s="47">
        <f t="shared" si="10"/>
        <v>7025.8</v>
      </c>
      <c r="P27" s="47">
        <f t="shared" si="10"/>
        <v>7025.8</v>
      </c>
      <c r="Q27" s="47">
        <f t="shared" si="10"/>
        <v>7025.8</v>
      </c>
      <c r="S27" s="18" t="s">
        <v>37</v>
      </c>
      <c r="T27" s="18" t="s">
        <v>38</v>
      </c>
      <c r="U27" s="35" t="s">
        <v>39</v>
      </c>
      <c r="W27" s="47"/>
      <c r="X27" s="47"/>
      <c r="Y27" s="47"/>
      <c r="Z27" s="47"/>
    </row>
    <row r="28" spans="1:26" x14ac:dyDescent="0.25">
      <c r="A28" s="43"/>
      <c r="B28" s="19" t="s">
        <v>76</v>
      </c>
      <c r="C28" s="31">
        <v>5797</v>
      </c>
      <c r="D28" s="28">
        <v>57.97</v>
      </c>
      <c r="E28" s="45">
        <v>40</v>
      </c>
      <c r="F28" s="28">
        <v>0.35</v>
      </c>
      <c r="G28" s="31">
        <v>0.4</v>
      </c>
      <c r="J28" s="18" t="s">
        <v>40</v>
      </c>
      <c r="K28" s="18" t="s">
        <v>41</v>
      </c>
      <c r="L28" s="35" t="s">
        <v>42</v>
      </c>
      <c r="M28" s="18">
        <f>D32*30</f>
        <v>1898.7</v>
      </c>
      <c r="N28" s="47">
        <f t="shared" si="11"/>
        <v>5109.13</v>
      </c>
      <c r="O28" s="47">
        <f t="shared" si="10"/>
        <v>5071.4500000000007</v>
      </c>
      <c r="P28" s="47">
        <f t="shared" si="10"/>
        <v>5033.7800000000007</v>
      </c>
      <c r="Q28" s="47">
        <f t="shared" si="10"/>
        <v>4958.43</v>
      </c>
      <c r="S28" s="18" t="s">
        <v>40</v>
      </c>
      <c r="T28" s="18" t="s">
        <v>41</v>
      </c>
      <c r="U28" s="35" t="s">
        <v>42</v>
      </c>
      <c r="W28" s="47"/>
      <c r="X28" s="47"/>
      <c r="Y28" s="47"/>
      <c r="Z28" s="47"/>
    </row>
    <row r="29" spans="1:26" x14ac:dyDescent="0.25">
      <c r="A29" s="43"/>
      <c r="B29" s="44" t="s">
        <v>33</v>
      </c>
      <c r="C29" s="31">
        <v>2939</v>
      </c>
      <c r="D29" s="28">
        <v>88.17</v>
      </c>
      <c r="E29" s="45">
        <v>60</v>
      </c>
      <c r="F29" s="31">
        <v>1</v>
      </c>
      <c r="G29" s="28">
        <v>0.62</v>
      </c>
      <c r="J29" s="18" t="s">
        <v>43</v>
      </c>
      <c r="K29" s="18" t="s">
        <v>44</v>
      </c>
      <c r="L29" s="35" t="s">
        <v>45</v>
      </c>
      <c r="M29" s="18">
        <f>D33*20</f>
        <v>3142.6</v>
      </c>
      <c r="N29" s="47">
        <f t="shared" si="11"/>
        <v>7454.99</v>
      </c>
      <c r="O29" s="47">
        <f>$M$25+E47</f>
        <v>7279.17</v>
      </c>
      <c r="P29" s="47">
        <f t="shared" si="10"/>
        <v>7103.3600000000006</v>
      </c>
      <c r="Q29" s="47">
        <f t="shared" si="10"/>
        <v>6751.73</v>
      </c>
      <c r="S29" s="18" t="s">
        <v>43</v>
      </c>
      <c r="T29" s="18" t="s">
        <v>44</v>
      </c>
      <c r="U29" s="35" t="s">
        <v>45</v>
      </c>
      <c r="W29" s="47"/>
      <c r="X29" s="47"/>
      <c r="Y29" s="47"/>
      <c r="Z29" s="47"/>
    </row>
    <row r="30" spans="1:26" ht="11" thickBot="1" x14ac:dyDescent="0.3">
      <c r="A30" s="43"/>
      <c r="B30" s="44" t="s">
        <v>77</v>
      </c>
      <c r="C30" s="31">
        <v>2500</v>
      </c>
      <c r="D30" s="31">
        <v>75</v>
      </c>
      <c r="E30" s="45">
        <v>60</v>
      </c>
      <c r="F30" s="31">
        <v>1</v>
      </c>
      <c r="G30" s="28">
        <v>0.62</v>
      </c>
      <c r="J30" s="18" t="s">
        <v>46</v>
      </c>
      <c r="K30" s="18" t="s">
        <v>47</v>
      </c>
      <c r="L30" s="35" t="s">
        <v>48</v>
      </c>
      <c r="M30" s="18">
        <f>D34*40</f>
        <v>7581.5999999999995</v>
      </c>
      <c r="N30" s="47">
        <f>$M$30+$C$34</f>
        <v>13899.599999999999</v>
      </c>
      <c r="O30" s="47">
        <f>$M$30+$C$34</f>
        <v>13899.599999999999</v>
      </c>
      <c r="P30" s="47">
        <f t="shared" ref="P30:Q30" si="12">$M$30+$C$34</f>
        <v>13899.599999999999</v>
      </c>
      <c r="Q30" s="47">
        <f t="shared" si="12"/>
        <v>13899.599999999999</v>
      </c>
      <c r="S30" s="18" t="s">
        <v>46</v>
      </c>
      <c r="T30" s="18" t="s">
        <v>47</v>
      </c>
      <c r="U30" s="35" t="s">
        <v>48</v>
      </c>
      <c r="W30" s="47"/>
      <c r="X30" s="47"/>
      <c r="Y30" s="47"/>
      <c r="Z30" s="47"/>
    </row>
    <row r="31" spans="1:26" x14ac:dyDescent="0.25">
      <c r="A31" s="43"/>
      <c r="B31" s="44" t="s">
        <v>39</v>
      </c>
      <c r="C31" s="31">
        <v>3499</v>
      </c>
      <c r="D31" s="28">
        <v>104.97</v>
      </c>
      <c r="E31" s="45">
        <v>60</v>
      </c>
      <c r="F31" s="31">
        <v>1</v>
      </c>
      <c r="G31" s="28">
        <v>0.62</v>
      </c>
      <c r="J31" s="48" t="s">
        <v>49</v>
      </c>
      <c r="K31" s="49" t="s">
        <v>50</v>
      </c>
      <c r="L31" s="49" t="s">
        <v>51</v>
      </c>
      <c r="M31" s="50">
        <f>D27*20</f>
        <v>465.6</v>
      </c>
      <c r="N31" s="51">
        <f>$M$31+D41</f>
        <v>2256.62</v>
      </c>
      <c r="O31" s="51">
        <f>$M$31+F41</f>
        <v>2041.0900000000001</v>
      </c>
      <c r="P31" s="51">
        <f t="shared" ref="P31:Q31" si="13">$M$31+G41</f>
        <v>1825.56</v>
      </c>
      <c r="Q31" s="52">
        <f t="shared" si="13"/>
        <v>1610.0300000000002</v>
      </c>
    </row>
    <row r="32" spans="1:26" ht="11" thickBot="1" x14ac:dyDescent="0.3">
      <c r="A32" s="43"/>
      <c r="B32" s="44" t="s">
        <v>42</v>
      </c>
      <c r="C32" s="28">
        <v>1582.33</v>
      </c>
      <c r="D32" s="28">
        <v>63.29</v>
      </c>
      <c r="E32" s="45">
        <v>30</v>
      </c>
      <c r="F32" s="31">
        <v>1</v>
      </c>
      <c r="G32" s="28">
        <v>0.33</v>
      </c>
      <c r="J32" s="53" t="s">
        <v>52</v>
      </c>
      <c r="K32" s="54" t="s">
        <v>53</v>
      </c>
      <c r="L32" s="54" t="s">
        <v>54</v>
      </c>
      <c r="M32" s="55">
        <f>D36*20</f>
        <v>1728</v>
      </c>
      <c r="N32" s="56">
        <f>$M$32+D48</f>
        <v>6048</v>
      </c>
      <c r="O32" s="56">
        <f>$M$32+F48</f>
        <v>4428</v>
      </c>
      <c r="P32" s="56">
        <f t="shared" ref="P32" si="14">$M$32+G48</f>
        <v>3819</v>
      </c>
      <c r="Q32" s="57">
        <f>$M$32+H48</f>
        <v>3819</v>
      </c>
    </row>
    <row r="33" spans="1:17" x14ac:dyDescent="0.25">
      <c r="A33" s="43"/>
      <c r="B33" s="44" t="s">
        <v>45</v>
      </c>
      <c r="C33" s="28">
        <v>3928.19</v>
      </c>
      <c r="D33" s="28">
        <v>157.13</v>
      </c>
      <c r="E33" s="45">
        <v>25</v>
      </c>
      <c r="F33" s="31">
        <v>1</v>
      </c>
      <c r="G33" s="28">
        <v>0.24</v>
      </c>
    </row>
    <row r="34" spans="1:17" x14ac:dyDescent="0.25">
      <c r="A34" s="43"/>
      <c r="B34" s="44" t="s">
        <v>48</v>
      </c>
      <c r="C34" s="31">
        <v>6318</v>
      </c>
      <c r="D34" s="28">
        <v>189.54</v>
      </c>
      <c r="E34" s="45">
        <v>40</v>
      </c>
      <c r="F34" s="28">
        <v>0.35</v>
      </c>
      <c r="G34" s="28">
        <v>0.85</v>
      </c>
      <c r="J34" s="21" t="s">
        <v>78</v>
      </c>
    </row>
    <row r="35" spans="1:17" x14ac:dyDescent="0.25">
      <c r="A35" s="43"/>
      <c r="B35" s="19" t="s">
        <v>79</v>
      </c>
      <c r="C35" s="31">
        <v>750</v>
      </c>
      <c r="D35" s="31">
        <v>23</v>
      </c>
      <c r="E35" s="45">
        <v>20</v>
      </c>
      <c r="F35" s="28">
        <v>0.42</v>
      </c>
      <c r="G35" s="31">
        <v>0.4</v>
      </c>
      <c r="J35" s="18" t="s">
        <v>10</v>
      </c>
      <c r="K35" s="18" t="s">
        <v>11</v>
      </c>
      <c r="L35" s="18" t="s">
        <v>13</v>
      </c>
      <c r="M35" s="23">
        <v>2018</v>
      </c>
      <c r="N35" s="23">
        <v>2020</v>
      </c>
      <c r="O35" s="23">
        <v>2030</v>
      </c>
      <c r="P35" s="23">
        <v>2040</v>
      </c>
      <c r="Q35" s="23">
        <v>2050</v>
      </c>
    </row>
    <row r="36" spans="1:17" x14ac:dyDescent="0.25">
      <c r="A36" s="43"/>
      <c r="B36" s="19" t="s">
        <v>80</v>
      </c>
      <c r="C36" s="31">
        <v>4320</v>
      </c>
      <c r="D36" s="31">
        <v>86.4</v>
      </c>
      <c r="E36" s="45">
        <v>24</v>
      </c>
      <c r="F36" s="31">
        <v>1</v>
      </c>
      <c r="G36" s="28">
        <v>0.28999999999999998</v>
      </c>
      <c r="J36" s="18" t="s">
        <v>17</v>
      </c>
      <c r="K36" s="18" t="s">
        <v>18</v>
      </c>
      <c r="L36" s="18" t="s">
        <v>19</v>
      </c>
      <c r="M36" s="58">
        <f>F20*G20</f>
        <v>0.23099999999999998</v>
      </c>
      <c r="N36" s="58">
        <f t="shared" ref="N36:N45" si="15">M36</f>
        <v>0.23099999999999998</v>
      </c>
      <c r="O36" s="58">
        <f t="shared" ref="O36:O45" si="16">M36</f>
        <v>0.23099999999999998</v>
      </c>
      <c r="P36" s="58">
        <f t="shared" ref="P36:P48" si="17">M36</f>
        <v>0.23099999999999998</v>
      </c>
      <c r="Q36" s="58">
        <f t="shared" ref="Q36:Q48" si="18">M36</f>
        <v>0.23099999999999998</v>
      </c>
    </row>
    <row r="37" spans="1:17" x14ac:dyDescent="0.25">
      <c r="A37" s="43"/>
      <c r="J37" s="18" t="s">
        <v>20</v>
      </c>
      <c r="K37" s="18" t="s">
        <v>21</v>
      </c>
      <c r="L37" s="18" t="s">
        <v>22</v>
      </c>
      <c r="M37" s="58">
        <f>F21*G21</f>
        <v>0.36549999999999999</v>
      </c>
      <c r="N37" s="58">
        <f t="shared" si="15"/>
        <v>0.36549999999999999</v>
      </c>
      <c r="O37" s="58">
        <f t="shared" si="16"/>
        <v>0.36549999999999999</v>
      </c>
      <c r="P37" s="58">
        <f t="shared" si="17"/>
        <v>0.36549999999999999</v>
      </c>
      <c r="Q37" s="58">
        <f t="shared" si="18"/>
        <v>0.36549999999999999</v>
      </c>
    </row>
    <row r="38" spans="1:17" x14ac:dyDescent="0.25">
      <c r="A38" s="43"/>
      <c r="B38" s="19" t="s">
        <v>81</v>
      </c>
      <c r="G38" s="19"/>
      <c r="H38" s="19"/>
      <c r="I38" s="59"/>
      <c r="J38" s="18" t="s">
        <v>23</v>
      </c>
      <c r="K38" s="18" t="s">
        <v>24</v>
      </c>
      <c r="L38" s="18" t="s">
        <v>25</v>
      </c>
      <c r="M38" s="58">
        <f>F24*G24</f>
        <v>0.29749999999999999</v>
      </c>
      <c r="N38" s="58">
        <f t="shared" si="15"/>
        <v>0.29749999999999999</v>
      </c>
      <c r="O38" s="58">
        <f t="shared" si="16"/>
        <v>0.29749999999999999</v>
      </c>
      <c r="P38" s="58">
        <f t="shared" si="17"/>
        <v>0.29749999999999999</v>
      </c>
      <c r="Q38" s="58">
        <f t="shared" si="18"/>
        <v>0.29749999999999999</v>
      </c>
    </row>
    <row r="39" spans="1:17" x14ac:dyDescent="0.25">
      <c r="A39" s="43"/>
      <c r="B39" s="19" t="s">
        <v>82</v>
      </c>
      <c r="C39" s="45">
        <v>2015</v>
      </c>
      <c r="D39" s="45">
        <v>2020</v>
      </c>
      <c r="E39" s="45">
        <v>2025</v>
      </c>
      <c r="F39" s="45">
        <v>2030</v>
      </c>
      <c r="G39" s="45">
        <v>2040</v>
      </c>
      <c r="H39" s="45">
        <v>2050</v>
      </c>
      <c r="I39" s="60"/>
      <c r="J39" s="18" t="s">
        <v>26</v>
      </c>
      <c r="K39" s="18" t="s">
        <v>27</v>
      </c>
      <c r="L39" s="18" t="s">
        <v>28</v>
      </c>
      <c r="M39" s="58">
        <f>F25*G25</f>
        <v>0.48449999999999993</v>
      </c>
      <c r="N39" s="58">
        <f t="shared" si="15"/>
        <v>0.48449999999999993</v>
      </c>
      <c r="O39" s="58">
        <f t="shared" si="16"/>
        <v>0.48449999999999993</v>
      </c>
      <c r="P39" s="58">
        <f t="shared" si="17"/>
        <v>0.48449999999999993</v>
      </c>
      <c r="Q39" s="58">
        <f t="shared" si="18"/>
        <v>0.48449999999999993</v>
      </c>
    </row>
    <row r="40" spans="1:17" x14ac:dyDescent="0.25">
      <c r="A40" s="43"/>
      <c r="B40" s="44" t="s">
        <v>19</v>
      </c>
      <c r="C40" s="31">
        <v>1905</v>
      </c>
      <c r="D40" s="31">
        <v>1905</v>
      </c>
      <c r="E40" s="31">
        <v>1905</v>
      </c>
      <c r="F40" s="31">
        <v>1905</v>
      </c>
      <c r="G40" s="31">
        <v>1905</v>
      </c>
      <c r="H40" s="31">
        <v>1905</v>
      </c>
      <c r="I40" s="61"/>
      <c r="J40" s="18" t="s">
        <v>29</v>
      </c>
      <c r="K40" s="18" t="s">
        <v>24</v>
      </c>
      <c r="L40" s="18" t="s">
        <v>30</v>
      </c>
      <c r="M40" s="58">
        <f>F26*G26</f>
        <v>0.32300000000000001</v>
      </c>
      <c r="N40" s="58">
        <f t="shared" si="15"/>
        <v>0.32300000000000001</v>
      </c>
      <c r="O40" s="58">
        <f t="shared" si="16"/>
        <v>0.32300000000000001</v>
      </c>
      <c r="P40" s="58">
        <f t="shared" si="17"/>
        <v>0.32300000000000001</v>
      </c>
      <c r="Q40" s="58">
        <f t="shared" si="18"/>
        <v>0.32300000000000001</v>
      </c>
    </row>
    <row r="41" spans="1:17" x14ac:dyDescent="0.25">
      <c r="A41" s="43"/>
      <c r="B41" s="19" t="s">
        <v>51</v>
      </c>
      <c r="C41" s="28">
        <v>1898.79</v>
      </c>
      <c r="D41" s="28">
        <v>1791.02</v>
      </c>
      <c r="E41" s="28">
        <v>1683.26</v>
      </c>
      <c r="F41" s="28">
        <v>1575.49</v>
      </c>
      <c r="G41" s="28">
        <v>1359.96</v>
      </c>
      <c r="H41" s="28">
        <v>1144.43</v>
      </c>
      <c r="I41" s="62"/>
      <c r="J41" s="18" t="s">
        <v>31</v>
      </c>
      <c r="K41" s="18" t="s">
        <v>32</v>
      </c>
      <c r="L41" s="18" t="s">
        <v>33</v>
      </c>
      <c r="M41" s="58">
        <f>F29*G29</f>
        <v>0.62</v>
      </c>
      <c r="N41" s="58">
        <f t="shared" si="15"/>
        <v>0.62</v>
      </c>
      <c r="O41" s="58">
        <f t="shared" si="16"/>
        <v>0.62</v>
      </c>
      <c r="P41" s="58">
        <f t="shared" si="17"/>
        <v>0.62</v>
      </c>
      <c r="Q41" s="58">
        <f t="shared" si="18"/>
        <v>0.62</v>
      </c>
    </row>
    <row r="42" spans="1:17" x14ac:dyDescent="0.25">
      <c r="A42" s="43"/>
      <c r="B42" s="19" t="s">
        <v>76</v>
      </c>
      <c r="C42" s="28">
        <v>8652.93</v>
      </c>
      <c r="D42" s="31">
        <v>5797</v>
      </c>
      <c r="E42" s="31">
        <v>4670</v>
      </c>
      <c r="F42" s="31">
        <v>3763</v>
      </c>
      <c r="G42" s="31">
        <v>3660</v>
      </c>
      <c r="H42" s="31">
        <v>3660</v>
      </c>
      <c r="I42" s="61"/>
      <c r="J42" s="18" t="s">
        <v>34</v>
      </c>
      <c r="K42" s="18" t="s">
        <v>35</v>
      </c>
      <c r="L42" s="18" t="s">
        <v>36</v>
      </c>
      <c r="M42" s="58">
        <f>F30*G30</f>
        <v>0.62</v>
      </c>
      <c r="N42" s="58">
        <f t="shared" si="15"/>
        <v>0.62</v>
      </c>
      <c r="O42" s="58">
        <f t="shared" si="16"/>
        <v>0.62</v>
      </c>
      <c r="P42" s="58">
        <f t="shared" si="17"/>
        <v>0.62</v>
      </c>
      <c r="Q42" s="58">
        <f t="shared" si="18"/>
        <v>0.62</v>
      </c>
    </row>
    <row r="43" spans="1:17" x14ac:dyDescent="0.25">
      <c r="A43" s="43"/>
      <c r="B43" s="44" t="s">
        <v>33</v>
      </c>
      <c r="C43" s="31">
        <v>2939</v>
      </c>
      <c r="D43" s="31">
        <v>2939</v>
      </c>
      <c r="E43" s="31">
        <v>2939</v>
      </c>
      <c r="F43" s="31">
        <v>2939</v>
      </c>
      <c r="G43" s="31">
        <v>2939</v>
      </c>
      <c r="H43" s="31">
        <v>2939</v>
      </c>
      <c r="I43" s="61"/>
      <c r="J43" s="18" t="s">
        <v>37</v>
      </c>
      <c r="K43" s="18" t="s">
        <v>38</v>
      </c>
      <c r="L43" s="18" t="s">
        <v>39</v>
      </c>
      <c r="M43" s="58">
        <f>F31*G31</f>
        <v>0.62</v>
      </c>
      <c r="N43" s="58">
        <f t="shared" si="15"/>
        <v>0.62</v>
      </c>
      <c r="O43" s="58">
        <f t="shared" si="16"/>
        <v>0.62</v>
      </c>
      <c r="P43" s="58">
        <f t="shared" si="17"/>
        <v>0.62</v>
      </c>
      <c r="Q43" s="58">
        <f t="shared" si="18"/>
        <v>0.62</v>
      </c>
    </row>
    <row r="44" spans="1:17" x14ac:dyDescent="0.25">
      <c r="A44" s="43"/>
      <c r="B44" s="44" t="s">
        <v>36</v>
      </c>
      <c r="C44" s="31">
        <v>2500</v>
      </c>
      <c r="D44" s="31">
        <v>2500</v>
      </c>
      <c r="E44" s="31">
        <v>2500</v>
      </c>
      <c r="F44" s="31">
        <v>2500</v>
      </c>
      <c r="G44" s="31">
        <v>2500</v>
      </c>
      <c r="H44" s="31">
        <v>2500</v>
      </c>
      <c r="I44" s="61"/>
      <c r="J44" s="18" t="s">
        <v>40</v>
      </c>
      <c r="K44" s="18" t="s">
        <v>41</v>
      </c>
      <c r="L44" s="18" t="s">
        <v>42</v>
      </c>
      <c r="M44" s="58">
        <f t="shared" ref="M44:M45" si="19">F32*G32</f>
        <v>0.33</v>
      </c>
      <c r="N44" s="58">
        <f t="shared" si="15"/>
        <v>0.33</v>
      </c>
      <c r="O44" s="58">
        <f t="shared" si="16"/>
        <v>0.33</v>
      </c>
      <c r="P44" s="58">
        <f t="shared" si="17"/>
        <v>0.33</v>
      </c>
      <c r="Q44" s="58">
        <f t="shared" si="18"/>
        <v>0.33</v>
      </c>
    </row>
    <row r="45" spans="1:17" x14ac:dyDescent="0.25">
      <c r="A45" s="43"/>
      <c r="B45" s="44" t="s">
        <v>39</v>
      </c>
      <c r="C45" s="31">
        <v>3499</v>
      </c>
      <c r="D45" s="31">
        <v>3499</v>
      </c>
      <c r="E45" s="31">
        <v>3499</v>
      </c>
      <c r="F45" s="31">
        <v>3499</v>
      </c>
      <c r="G45" s="31">
        <v>3499</v>
      </c>
      <c r="H45" s="31">
        <v>3499</v>
      </c>
      <c r="I45" s="61"/>
      <c r="J45" s="18" t="s">
        <v>43</v>
      </c>
      <c r="K45" s="18" t="s">
        <v>44</v>
      </c>
      <c r="L45" s="18" t="s">
        <v>45</v>
      </c>
      <c r="M45" s="58">
        <f t="shared" si="19"/>
        <v>0.24</v>
      </c>
      <c r="N45" s="58">
        <f t="shared" si="15"/>
        <v>0.24</v>
      </c>
      <c r="O45" s="58">
        <f t="shared" si="16"/>
        <v>0.24</v>
      </c>
      <c r="P45" s="58">
        <f t="shared" si="17"/>
        <v>0.24</v>
      </c>
      <c r="Q45" s="58">
        <f t="shared" si="18"/>
        <v>0.24</v>
      </c>
    </row>
    <row r="46" spans="1:17" ht="11" thickBot="1" x14ac:dyDescent="0.3">
      <c r="A46" s="43"/>
      <c r="B46" s="44" t="s">
        <v>42</v>
      </c>
      <c r="C46" s="31">
        <v>1620</v>
      </c>
      <c r="D46" s="28">
        <v>1582.33</v>
      </c>
      <c r="E46" s="28">
        <v>1544.65</v>
      </c>
      <c r="F46" s="28">
        <v>1506.98</v>
      </c>
      <c r="G46" s="28">
        <v>1431.63</v>
      </c>
      <c r="H46" s="28">
        <v>1356.28</v>
      </c>
      <c r="I46" s="62"/>
      <c r="J46" s="18" t="s">
        <v>46</v>
      </c>
      <c r="K46" s="18" t="s">
        <v>47</v>
      </c>
      <c r="L46" s="18" t="s">
        <v>48</v>
      </c>
      <c r="M46" s="58">
        <f>F34*G34</f>
        <v>0.29749999999999999</v>
      </c>
      <c r="N46" s="58">
        <f>M46</f>
        <v>0.29749999999999999</v>
      </c>
      <c r="O46" s="58">
        <f>M46</f>
        <v>0.29749999999999999</v>
      </c>
      <c r="P46" s="58">
        <f t="shared" si="17"/>
        <v>0.29749999999999999</v>
      </c>
      <c r="Q46" s="58">
        <f t="shared" si="18"/>
        <v>0.29749999999999999</v>
      </c>
    </row>
    <row r="47" spans="1:17" x14ac:dyDescent="0.25">
      <c r="A47" s="43"/>
      <c r="B47" s="44" t="s">
        <v>45</v>
      </c>
      <c r="C47" s="31">
        <v>4104</v>
      </c>
      <c r="D47" s="28">
        <v>3928.19</v>
      </c>
      <c r="E47" s="28">
        <v>3752.37</v>
      </c>
      <c r="F47" s="28">
        <v>3576.56</v>
      </c>
      <c r="G47" s="28">
        <v>3224.93</v>
      </c>
      <c r="H47" s="31">
        <v>2873.3</v>
      </c>
      <c r="I47" s="61"/>
      <c r="J47" s="48" t="s">
        <v>49</v>
      </c>
      <c r="K47" s="49" t="s">
        <v>50</v>
      </c>
      <c r="L47" s="49" t="s">
        <v>51</v>
      </c>
      <c r="M47" s="50">
        <f>F27*G27</f>
        <v>0.28999999999999998</v>
      </c>
      <c r="N47" s="50">
        <f>M47</f>
        <v>0.28999999999999998</v>
      </c>
      <c r="O47" s="50">
        <f>M47</f>
        <v>0.28999999999999998</v>
      </c>
      <c r="P47" s="50">
        <f t="shared" si="17"/>
        <v>0.28999999999999998</v>
      </c>
      <c r="Q47" s="63">
        <f t="shared" si="18"/>
        <v>0.28999999999999998</v>
      </c>
    </row>
    <row r="48" spans="1:17" ht="11" thickBot="1" x14ac:dyDescent="0.3">
      <c r="A48" s="43"/>
      <c r="B48" s="19" t="s">
        <v>80</v>
      </c>
      <c r="C48" s="31">
        <v>6840</v>
      </c>
      <c r="D48" s="31">
        <v>4320</v>
      </c>
      <c r="E48" s="31">
        <v>3415</v>
      </c>
      <c r="F48" s="31">
        <v>2700</v>
      </c>
      <c r="G48" s="31">
        <v>2091</v>
      </c>
      <c r="H48" s="31">
        <v>2091</v>
      </c>
      <c r="I48" s="61"/>
      <c r="J48" s="53" t="s">
        <v>52</v>
      </c>
      <c r="K48" s="54" t="s">
        <v>53</v>
      </c>
      <c r="L48" s="54" t="s">
        <v>54</v>
      </c>
      <c r="M48" s="55">
        <f>F36*G36</f>
        <v>0.28999999999999998</v>
      </c>
      <c r="N48" s="55">
        <f>M48</f>
        <v>0.28999999999999998</v>
      </c>
      <c r="O48" s="55">
        <f>M48</f>
        <v>0.28999999999999998</v>
      </c>
      <c r="P48" s="55">
        <f t="shared" si="17"/>
        <v>0.28999999999999998</v>
      </c>
      <c r="Q48" s="64">
        <f t="shared" si="18"/>
        <v>0.28999999999999998</v>
      </c>
    </row>
    <row r="49" spans="1:14" x14ac:dyDescent="0.25">
      <c r="A49" s="43"/>
    </row>
    <row r="50" spans="1:14" x14ac:dyDescent="0.25">
      <c r="A50" s="43"/>
      <c r="B50" s="19" t="s">
        <v>64</v>
      </c>
      <c r="G50" s="19"/>
      <c r="H50" s="19"/>
      <c r="I50" s="59"/>
      <c r="L50" s="19" t="s">
        <v>83</v>
      </c>
      <c r="M50" s="18" t="s">
        <v>65</v>
      </c>
      <c r="N50" s="19" t="s">
        <v>84</v>
      </c>
    </row>
    <row r="51" spans="1:14" x14ac:dyDescent="0.25">
      <c r="A51" s="43"/>
      <c r="B51" s="19" t="s">
        <v>85</v>
      </c>
      <c r="C51" s="45">
        <v>2015</v>
      </c>
      <c r="D51" s="45">
        <v>2020</v>
      </c>
      <c r="E51" s="45">
        <v>2025</v>
      </c>
      <c r="F51" s="45">
        <v>2030</v>
      </c>
      <c r="G51" s="45">
        <v>2040</v>
      </c>
      <c r="H51" s="45">
        <v>2050</v>
      </c>
      <c r="I51" s="60"/>
      <c r="J51" s="21" t="s">
        <v>7</v>
      </c>
    </row>
    <row r="52" spans="1:14" x14ac:dyDescent="0.25">
      <c r="A52" s="43"/>
      <c r="B52" s="19" t="s">
        <v>86</v>
      </c>
      <c r="C52" s="28">
        <v>13.14</v>
      </c>
      <c r="D52" s="31">
        <v>12.2</v>
      </c>
      <c r="E52" s="28">
        <v>12.76</v>
      </c>
      <c r="F52" s="28">
        <v>14.27</v>
      </c>
      <c r="G52" s="31">
        <v>16.899999999999999</v>
      </c>
      <c r="H52" s="28">
        <v>19.52</v>
      </c>
      <c r="I52" s="62"/>
      <c r="J52" s="18" t="s">
        <v>10</v>
      </c>
      <c r="K52" s="18" t="s">
        <v>11</v>
      </c>
      <c r="L52" s="18" t="s">
        <v>13</v>
      </c>
    </row>
    <row r="53" spans="1:14" x14ac:dyDescent="0.25">
      <c r="A53" s="43"/>
      <c r="B53" s="19" t="s">
        <v>87</v>
      </c>
      <c r="C53" s="28">
        <v>11.95</v>
      </c>
      <c r="D53" s="28">
        <v>11.09</v>
      </c>
      <c r="E53" s="31">
        <v>11.6</v>
      </c>
      <c r="F53" s="28">
        <v>12.97</v>
      </c>
      <c r="G53" s="28">
        <v>15.36</v>
      </c>
      <c r="H53" s="28">
        <v>17.75</v>
      </c>
      <c r="I53" s="62"/>
      <c r="J53" s="18" t="s">
        <v>17</v>
      </c>
      <c r="K53" s="18" t="s">
        <v>18</v>
      </c>
      <c r="L53" s="18" t="s">
        <v>19</v>
      </c>
      <c r="M53" s="18">
        <f>0.000057168*365*24*10*$G$20*C65</f>
        <v>330.52250880000003</v>
      </c>
    </row>
    <row r="54" spans="1:14" x14ac:dyDescent="0.25">
      <c r="A54" s="43"/>
      <c r="B54" s="19" t="s">
        <v>88</v>
      </c>
      <c r="C54" s="28">
        <v>6.16</v>
      </c>
      <c r="D54" s="28">
        <v>6.16</v>
      </c>
      <c r="E54" s="28">
        <v>6.16</v>
      </c>
      <c r="F54" s="28">
        <v>6.16</v>
      </c>
      <c r="G54" s="28">
        <v>6.16</v>
      </c>
      <c r="H54" s="28">
        <v>6.16</v>
      </c>
      <c r="I54" s="62"/>
      <c r="J54" s="18" t="s">
        <v>20</v>
      </c>
      <c r="K54" s="18" t="s">
        <v>21</v>
      </c>
      <c r="L54" s="18" t="s">
        <v>22</v>
      </c>
      <c r="M54" s="18">
        <f>0.000057168*365*24*10*$G$21*C66</f>
        <v>402.68658988799996</v>
      </c>
    </row>
    <row r="55" spans="1:14" x14ac:dyDescent="0.25">
      <c r="A55" s="43"/>
      <c r="B55" s="19" t="s">
        <v>89</v>
      </c>
      <c r="C55" s="31">
        <v>5.6</v>
      </c>
      <c r="D55" s="31">
        <v>5.6</v>
      </c>
      <c r="E55" s="31">
        <v>5.6</v>
      </c>
      <c r="F55" s="31">
        <v>5.6</v>
      </c>
      <c r="G55" s="31">
        <v>5.6</v>
      </c>
      <c r="H55" s="31">
        <v>5.6</v>
      </c>
      <c r="I55" s="61"/>
      <c r="J55" s="18" t="s">
        <v>23</v>
      </c>
      <c r="K55" s="18" t="s">
        <v>24</v>
      </c>
      <c r="L55" s="18" t="s">
        <v>25</v>
      </c>
      <c r="M55" s="18">
        <f>0.000057168*365*24*10*$G$24*AVERAGE(C64,C67:C68)</f>
        <v>312.16014719999998</v>
      </c>
    </row>
    <row r="56" spans="1:14" x14ac:dyDescent="0.25">
      <c r="A56" s="43"/>
      <c r="B56" s="19" t="s">
        <v>90</v>
      </c>
      <c r="C56" s="31">
        <v>3.2</v>
      </c>
      <c r="D56" s="28">
        <v>3.55</v>
      </c>
      <c r="E56" s="28">
        <v>3.64</v>
      </c>
      <c r="F56" s="28">
        <v>3.73</v>
      </c>
      <c r="G56" s="31">
        <v>3.9</v>
      </c>
      <c r="H56" s="28">
        <v>4.26</v>
      </c>
      <c r="I56" s="62"/>
      <c r="J56" s="18" t="s">
        <v>26</v>
      </c>
      <c r="K56" s="18" t="s">
        <v>27</v>
      </c>
      <c r="L56" s="18" t="s">
        <v>28</v>
      </c>
      <c r="M56" s="18">
        <f>0.000057168*365*24*10*$G$26*C69</f>
        <v>238.802512608</v>
      </c>
    </row>
    <row r="57" spans="1:14" x14ac:dyDescent="0.25">
      <c r="A57" s="43"/>
      <c r="B57" s="19" t="s">
        <v>91</v>
      </c>
      <c r="C57" s="28">
        <v>2.91</v>
      </c>
      <c r="D57" s="28">
        <v>3.23</v>
      </c>
      <c r="E57" s="28">
        <v>3.31</v>
      </c>
      <c r="F57" s="28">
        <v>3.39</v>
      </c>
      <c r="G57" s="28">
        <v>3.55</v>
      </c>
      <c r="H57" s="28">
        <v>3.87</v>
      </c>
      <c r="I57" s="62"/>
      <c r="J57" s="18" t="s">
        <v>29</v>
      </c>
      <c r="K57" s="18" t="s">
        <v>24</v>
      </c>
      <c r="L57" s="18" t="s">
        <v>30</v>
      </c>
      <c r="M57" s="18">
        <f>0.000057168*365*24*10*$G$26*C69</f>
        <v>238.802512608</v>
      </c>
    </row>
    <row r="58" spans="1:14" x14ac:dyDescent="0.25">
      <c r="A58" s="43"/>
      <c r="B58" s="19" t="s">
        <v>92</v>
      </c>
      <c r="C58" s="28">
        <v>15.89</v>
      </c>
      <c r="D58" s="28">
        <v>14.75</v>
      </c>
      <c r="E58" s="28">
        <v>15.43</v>
      </c>
      <c r="F58" s="28">
        <v>17.25</v>
      </c>
      <c r="G58" s="28">
        <v>20.43</v>
      </c>
      <c r="H58" s="28">
        <v>23.61</v>
      </c>
      <c r="I58" s="62"/>
    </row>
    <row r="59" spans="1:14" x14ac:dyDescent="0.25">
      <c r="A59" s="43"/>
      <c r="B59" s="19" t="s">
        <v>93</v>
      </c>
      <c r="C59" s="28">
        <v>9.56</v>
      </c>
      <c r="D59" s="28">
        <v>8.8699999999999992</v>
      </c>
      <c r="E59" s="28">
        <v>9.2799999999999994</v>
      </c>
      <c r="F59" s="28">
        <v>10.38</v>
      </c>
      <c r="G59" s="28">
        <v>12.29</v>
      </c>
      <c r="H59" s="31">
        <v>14.2</v>
      </c>
      <c r="I59" s="61"/>
    </row>
    <row r="60" spans="1:14" x14ac:dyDescent="0.25">
      <c r="A60" s="43"/>
      <c r="B60" s="19" t="s">
        <v>94</v>
      </c>
      <c r="C60" s="28">
        <v>3.76</v>
      </c>
      <c r="D60" s="28">
        <v>4.6500000000000004</v>
      </c>
      <c r="E60" s="28">
        <v>5.54</v>
      </c>
      <c r="F60" s="28">
        <v>6.43</v>
      </c>
      <c r="G60" s="28">
        <v>8.2200000000000006</v>
      </c>
      <c r="H60" s="28">
        <v>10.01</v>
      </c>
      <c r="I60" s="62"/>
    </row>
    <row r="61" spans="1:14" x14ac:dyDescent="0.25">
      <c r="A61" s="43"/>
      <c r="B61" s="19" t="s">
        <v>95</v>
      </c>
      <c r="C61" s="28">
        <v>3.41</v>
      </c>
      <c r="D61" s="28">
        <v>4.22</v>
      </c>
      <c r="E61" s="28">
        <v>5.04</v>
      </c>
      <c r="F61" s="28">
        <v>5.85</v>
      </c>
      <c r="G61" s="28">
        <v>7.48</v>
      </c>
      <c r="H61" s="31">
        <v>9.1</v>
      </c>
      <c r="I61" s="61"/>
    </row>
    <row r="63" spans="1:14" x14ac:dyDescent="0.25">
      <c r="A63" s="65" t="s">
        <v>96</v>
      </c>
      <c r="B63" s="19" t="s">
        <v>97</v>
      </c>
      <c r="C63" s="19" t="s">
        <v>98</v>
      </c>
    </row>
    <row r="64" spans="1:14" x14ac:dyDescent="0.25">
      <c r="A64" s="35"/>
      <c r="B64" s="19" t="s">
        <v>99</v>
      </c>
      <c r="C64" s="19">
        <v>73.3</v>
      </c>
    </row>
    <row r="65" spans="1:4" x14ac:dyDescent="0.25">
      <c r="A65" s="35"/>
      <c r="B65" s="19" t="s">
        <v>100</v>
      </c>
      <c r="C65" s="19">
        <v>100</v>
      </c>
    </row>
    <row r="66" spans="1:4" x14ac:dyDescent="0.25">
      <c r="A66" s="35"/>
      <c r="B66" s="19" t="s">
        <v>101</v>
      </c>
      <c r="C66" s="19">
        <v>94.6</v>
      </c>
    </row>
    <row r="67" spans="1:4" x14ac:dyDescent="0.25">
      <c r="A67" s="35"/>
      <c r="B67" s="19" t="s">
        <v>102</v>
      </c>
      <c r="C67" s="19">
        <v>69.3</v>
      </c>
    </row>
    <row r="68" spans="1:4" x14ac:dyDescent="0.25">
      <c r="A68" s="35"/>
      <c r="B68" s="19" t="s">
        <v>103</v>
      </c>
      <c r="C68" s="19">
        <v>77.400000000000006</v>
      </c>
    </row>
    <row r="69" spans="1:4" x14ac:dyDescent="0.25">
      <c r="A69" s="35"/>
      <c r="B69" s="19" t="s">
        <v>104</v>
      </c>
      <c r="C69" s="19">
        <v>56.1</v>
      </c>
    </row>
    <row r="71" spans="1:4" x14ac:dyDescent="0.25">
      <c r="A71" s="66" t="s">
        <v>105</v>
      </c>
      <c r="B71" s="19" t="s">
        <v>106</v>
      </c>
      <c r="C71" s="19" t="s">
        <v>107</v>
      </c>
      <c r="D71" s="19" t="s">
        <v>108</v>
      </c>
    </row>
    <row r="72" spans="1:4" x14ac:dyDescent="0.25">
      <c r="A72" s="46"/>
      <c r="B72" s="19" t="s">
        <v>109</v>
      </c>
      <c r="C72" s="19" t="s">
        <v>110</v>
      </c>
      <c r="D72" s="19">
        <v>24992</v>
      </c>
    </row>
    <row r="73" spans="1:4" x14ac:dyDescent="0.25">
      <c r="A73" s="46"/>
      <c r="B73" s="19" t="s">
        <v>42</v>
      </c>
      <c r="C73" s="19" t="s">
        <v>110</v>
      </c>
      <c r="D73" s="19">
        <v>22215.5</v>
      </c>
    </row>
    <row r="74" spans="1:4" x14ac:dyDescent="0.25">
      <c r="A74" s="46"/>
      <c r="B74" s="19" t="s">
        <v>45</v>
      </c>
      <c r="C74" s="19" t="s">
        <v>110</v>
      </c>
      <c r="D74" s="19">
        <v>7554.97</v>
      </c>
    </row>
    <row r="75" spans="1:4" x14ac:dyDescent="0.25">
      <c r="A75" s="46"/>
      <c r="B75" s="19" t="s">
        <v>111</v>
      </c>
      <c r="C75" s="19" t="s">
        <v>112</v>
      </c>
      <c r="D75" s="19">
        <v>260093</v>
      </c>
    </row>
    <row r="76" spans="1:4" x14ac:dyDescent="0.25">
      <c r="A76" s="46"/>
      <c r="B76" s="19" t="s">
        <v>113</v>
      </c>
      <c r="C76" s="19" t="s">
        <v>112</v>
      </c>
      <c r="D76" s="19">
        <v>0</v>
      </c>
    </row>
    <row r="77" spans="1:4" x14ac:dyDescent="0.25">
      <c r="A77" s="46"/>
      <c r="B77" s="19" t="s">
        <v>114</v>
      </c>
      <c r="C77" s="19" t="s">
        <v>112</v>
      </c>
      <c r="D77" s="19">
        <v>0</v>
      </c>
    </row>
  </sheetData>
  <phoneticPr fontId="10" type="noConversion"/>
  <conditionalFormatting sqref="F4:F1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{BB2E22DD-2EB6-5D49-8BE3-961887E053CE}</x14:id>
        </ext>
      </extLst>
    </cfRule>
  </conditionalFormatting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2E22DD-2EB6-5D49-8BE3-961887E053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F4:F14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B7B28-ACBA-2249-8CF9-CC252B2A1E31}">
  <sheetPr codeName="Sheet4"/>
  <dimension ref="C2:G16"/>
  <sheetViews>
    <sheetView zoomScale="132" workbookViewId="0"/>
  </sheetViews>
  <sheetFormatPr defaultColWidth="10.84375" defaultRowHeight="15.5" x14ac:dyDescent="0.35"/>
  <cols>
    <col min="1" max="4" width="10.84375" style="4"/>
    <col min="5" max="5" width="11.15234375" style="4" bestFit="1" customWidth="1"/>
    <col min="6" max="6" width="12.3046875" style="105" customWidth="1"/>
    <col min="7" max="7" width="13" style="4" customWidth="1"/>
    <col min="8" max="16384" width="10.84375" style="4"/>
  </cols>
  <sheetData>
    <row r="2" spans="3:7" x14ac:dyDescent="0.35">
      <c r="C2" s="110" t="s">
        <v>6</v>
      </c>
      <c r="D2" s="4" t="s">
        <v>120</v>
      </c>
      <c r="E2" s="4" t="s">
        <v>112</v>
      </c>
      <c r="F2" s="105" t="s">
        <v>122</v>
      </c>
      <c r="G2" s="4" t="s">
        <v>121</v>
      </c>
    </row>
    <row r="3" spans="3:7" x14ac:dyDescent="0.35">
      <c r="C3" s="4">
        <v>2020</v>
      </c>
      <c r="D3" s="4">
        <v>509</v>
      </c>
      <c r="E3" s="106">
        <f>D3*1000000/(24*365)</f>
        <v>58105.022831050228</v>
      </c>
      <c r="F3" s="105">
        <v>1.4157916873933203</v>
      </c>
      <c r="G3" s="106">
        <v>82264.608319999999</v>
      </c>
    </row>
    <row r="4" spans="3:7" x14ac:dyDescent="0.35">
      <c r="C4" s="4">
        <v>2025</v>
      </c>
      <c r="D4" s="4">
        <v>600</v>
      </c>
      <c r="E4" s="106">
        <f t="shared" ref="E4:E9" si="0">D4*1000000/(24*365)</f>
        <v>68493.150684931505</v>
      </c>
      <c r="F4" s="105">
        <v>1.4157916873933203</v>
      </c>
      <c r="G4" s="106">
        <f>F4*E4</f>
        <v>96972.033383104121</v>
      </c>
    </row>
    <row r="5" spans="3:7" x14ac:dyDescent="0.35">
      <c r="C5" s="4">
        <v>2030</v>
      </c>
      <c r="D5" s="4">
        <v>685</v>
      </c>
      <c r="E5" s="106">
        <f t="shared" si="0"/>
        <v>78196.347031963465</v>
      </c>
      <c r="F5" s="105">
        <v>1.4157916873933203</v>
      </c>
      <c r="G5" s="106">
        <f t="shared" ref="G5:G9" si="1">F5*E5</f>
        <v>110709.73811237721</v>
      </c>
    </row>
    <row r="6" spans="3:7" x14ac:dyDescent="0.35">
      <c r="C6" s="4">
        <v>2035</v>
      </c>
      <c r="D6" s="4">
        <v>761</v>
      </c>
      <c r="E6" s="106">
        <f t="shared" si="0"/>
        <v>86872.146118721459</v>
      </c>
      <c r="F6" s="105">
        <v>1.4157916873933203</v>
      </c>
      <c r="G6" s="106">
        <f t="shared" si="1"/>
        <v>122992.86234090374</v>
      </c>
    </row>
    <row r="7" spans="3:7" x14ac:dyDescent="0.35">
      <c r="C7" s="4">
        <v>2040</v>
      </c>
      <c r="D7" s="4">
        <v>836</v>
      </c>
      <c r="E7" s="106">
        <f t="shared" si="0"/>
        <v>95433.789954337903</v>
      </c>
      <c r="F7" s="105">
        <v>1.4157916873933203</v>
      </c>
      <c r="G7" s="106">
        <f t="shared" si="1"/>
        <v>135114.36651379176</v>
      </c>
    </row>
    <row r="8" spans="3:7" x14ac:dyDescent="0.35">
      <c r="C8" s="4">
        <v>2045</v>
      </c>
      <c r="D8" s="4">
        <v>903</v>
      </c>
      <c r="E8" s="106">
        <f t="shared" si="0"/>
        <v>103082.19178082192</v>
      </c>
      <c r="F8" s="105">
        <v>1.4157916873933203</v>
      </c>
      <c r="G8" s="106">
        <f t="shared" si="1"/>
        <v>145942.91024157172</v>
      </c>
    </row>
    <row r="9" spans="3:7" x14ac:dyDescent="0.35">
      <c r="C9" s="4">
        <v>2050</v>
      </c>
      <c r="D9" s="4">
        <v>962</v>
      </c>
      <c r="E9" s="106">
        <f t="shared" si="0"/>
        <v>109817.35159817351</v>
      </c>
      <c r="F9" s="105">
        <v>1.4157916873933203</v>
      </c>
      <c r="G9" s="106">
        <f t="shared" si="1"/>
        <v>155478.49352424362</v>
      </c>
    </row>
    <row r="10" spans="3:7" x14ac:dyDescent="0.35">
      <c r="C10" s="4" t="s">
        <v>123</v>
      </c>
      <c r="D10" s="107" t="s">
        <v>124</v>
      </c>
    </row>
    <row r="12" spans="3:7" x14ac:dyDescent="0.35">
      <c r="C12" s="110" t="s">
        <v>8</v>
      </c>
      <c r="D12" s="4">
        <v>2020</v>
      </c>
      <c r="E12" s="4">
        <v>2030</v>
      </c>
      <c r="F12" s="4">
        <v>2040</v>
      </c>
      <c r="G12" s="4">
        <v>2050</v>
      </c>
    </row>
    <row r="13" spans="3:7" x14ac:dyDescent="0.35">
      <c r="C13" s="4" t="s">
        <v>57</v>
      </c>
      <c r="D13" s="4">
        <f>BAU!O3</f>
        <v>16025494.044372622</v>
      </c>
      <c r="E13" s="4">
        <f>BAU!P3</f>
        <v>22057964.627804395</v>
      </c>
      <c r="F13" s="105">
        <f>BAU!Q3</f>
        <v>30554985.865017019</v>
      </c>
      <c r="G13" s="4">
        <f>BAU!R3</f>
        <v>41988290.116363019</v>
      </c>
    </row>
    <row r="14" spans="3:7" x14ac:dyDescent="0.35">
      <c r="D14" s="111">
        <v>0.92</v>
      </c>
      <c r="E14" s="111">
        <v>0.85</v>
      </c>
      <c r="F14" s="111">
        <v>0.8</v>
      </c>
      <c r="G14" s="111">
        <v>0.75</v>
      </c>
    </row>
    <row r="15" spans="3:7" x14ac:dyDescent="0.35">
      <c r="C15" s="4" t="s">
        <v>131</v>
      </c>
      <c r="D15" s="4">
        <f>D14*D13</f>
        <v>14743454.520822814</v>
      </c>
      <c r="E15" s="4">
        <f t="shared" ref="E15:G15" si="2">E14*E13</f>
        <v>18749269.933633734</v>
      </c>
      <c r="F15" s="4">
        <f t="shared" si="2"/>
        <v>24443988.692013618</v>
      </c>
      <c r="G15" s="4">
        <f t="shared" si="2"/>
        <v>31491217.587272264</v>
      </c>
    </row>
    <row r="16" spans="3:7" x14ac:dyDescent="0.35">
      <c r="D16" s="4">
        <v>14686635.149780584</v>
      </c>
    </row>
  </sheetData>
  <phoneticPr fontId="10" type="noConversion"/>
  <hyperlinks>
    <hyperlink ref="D10" r:id="rId1" display="https://eneroutlook.enerdata.net/brazil-energy-forecast.html" xr:uid="{2375C84B-ACF5-1D4B-B0C1-8891669645F5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Scenario_Control</vt:lpstr>
      <vt:lpstr>BAU</vt:lpstr>
      <vt:lpstr>CaC</vt:lpstr>
      <vt:lpstr>Data_Collection</vt:lpstr>
      <vt:lpstr>Demand&amp;Emission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Song, Jerry</cp:lastModifiedBy>
  <dcterms:created xsi:type="dcterms:W3CDTF">2024-03-07T16:57:56Z</dcterms:created>
  <dcterms:modified xsi:type="dcterms:W3CDTF">2024-03-09T10:55:37Z</dcterms:modified>
</cp:coreProperties>
</file>